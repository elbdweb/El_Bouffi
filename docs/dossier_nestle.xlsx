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Git_Clones\elbdweb\PortFolio\El_Bouffi\Docs\"/>
    </mc:Choice>
  </mc:AlternateContent>
  <xr:revisionPtr revIDLastSave="0" documentId="13_ncr:1_{3955944C-D23C-684C-A481-68C44426595C}" xr6:coauthVersionLast="47" xr6:coauthVersionMax="47" xr10:uidLastSave="{00000000-0000-0000-0000-000000000000}"/>
  <bookViews>
    <workbookView xWindow="2340" yWindow="2340" windowWidth="21600" windowHeight="11295" xr2:uid="{978FC2CC-CA80-D44B-AA8E-E284566A1756}"/>
  </bookViews>
  <sheets>
    <sheet name="Feuil1" sheetId="1" r:id="rId1"/>
    <sheet name="Feuil2" sheetId="2" r:id="rId2"/>
    <sheet name="Feuil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1" l="1"/>
  <c r="D57" i="1"/>
  <c r="E57" i="1"/>
  <c r="F57" i="1"/>
  <c r="G57" i="1"/>
  <c r="B57" i="1"/>
  <c r="F50" i="1"/>
  <c r="G50" i="1"/>
  <c r="F52" i="1"/>
  <c r="G52" i="1"/>
  <c r="F53" i="1"/>
  <c r="G53" i="1"/>
  <c r="F54" i="1"/>
  <c r="G54" i="1"/>
  <c r="F55" i="1"/>
  <c r="G55" i="1"/>
  <c r="F56" i="1"/>
  <c r="G56" i="1"/>
  <c r="D50" i="1"/>
  <c r="E50" i="1" s="1"/>
  <c r="D52" i="1"/>
  <c r="E52" i="1"/>
  <c r="D53" i="1"/>
  <c r="E53" i="1"/>
  <c r="D54" i="1"/>
  <c r="E54" i="1"/>
  <c r="D55" i="1"/>
  <c r="E55" i="1"/>
  <c r="D56" i="1"/>
  <c r="E56" i="1"/>
  <c r="C52" i="1"/>
  <c r="C53" i="1"/>
  <c r="C54" i="1"/>
  <c r="C55" i="1"/>
  <c r="C56" i="1"/>
  <c r="C50" i="1"/>
  <c r="G46" i="1"/>
  <c r="C46" i="1"/>
  <c r="D46" i="1"/>
  <c r="E46" i="1"/>
  <c r="F46" i="1"/>
  <c r="B46" i="1"/>
  <c r="D43" i="1"/>
  <c r="E43" i="1"/>
  <c r="F43" i="1" s="1"/>
  <c r="G43" i="1" s="1"/>
  <c r="D44" i="1"/>
  <c r="E44" i="1"/>
  <c r="F44" i="1"/>
  <c r="G44" i="1" s="1"/>
  <c r="D45" i="1"/>
  <c r="E45" i="1"/>
  <c r="F45" i="1"/>
  <c r="G45" i="1" s="1"/>
  <c r="C43" i="1"/>
  <c r="C44" i="1"/>
  <c r="C45" i="1"/>
  <c r="D41" i="1"/>
  <c r="E41" i="1" s="1"/>
  <c r="F41" i="1" s="1"/>
  <c r="G41" i="1" s="1"/>
  <c r="C41" i="1"/>
  <c r="E40" i="1"/>
  <c r="G40" i="1"/>
  <c r="F40" i="1"/>
  <c r="D40" i="1"/>
  <c r="C40" i="1"/>
  <c r="B37" i="3"/>
  <c r="K36" i="3"/>
  <c r="G36" i="3"/>
  <c r="H36" i="3"/>
  <c r="J36" i="3"/>
  <c r="C36" i="3"/>
  <c r="D36" i="3"/>
  <c r="E36" i="3"/>
  <c r="F36" i="3"/>
  <c r="I36" i="3"/>
  <c r="B36" i="3"/>
  <c r="C12" i="3" l="1"/>
  <c r="C16" i="3" s="1"/>
  <c r="C20" i="3" s="1"/>
  <c r="C24" i="3" s="1"/>
  <c r="B12" i="3"/>
  <c r="B16" i="3" s="1"/>
  <c r="B20" i="3" s="1"/>
  <c r="B24" i="3" s="1"/>
  <c r="B52" i="1" l="1"/>
  <c r="C13" i="2"/>
  <c r="B13" i="2"/>
  <c r="C8" i="2"/>
  <c r="B8" i="2"/>
  <c r="B19" i="2"/>
  <c r="O39" i="1" l="1"/>
  <c r="N39" i="1"/>
  <c r="O29" i="1"/>
  <c r="N29" i="1"/>
  <c r="O9" i="1"/>
  <c r="O13" i="1" s="1"/>
  <c r="O19" i="1" s="1"/>
  <c r="O42" i="1" s="1"/>
  <c r="O46" i="1" s="1"/>
  <c r="N9" i="1"/>
  <c r="N13" i="1" s="1"/>
  <c r="N19" i="1" s="1"/>
  <c r="N42" i="1" l="1"/>
  <c r="N46" i="1" s="1"/>
  <c r="C12" i="1"/>
  <c r="C16" i="1" s="1"/>
  <c r="C20" i="1" s="1"/>
  <c r="C24" i="1" s="1"/>
  <c r="B12" i="1"/>
  <c r="B16" i="1" s="1"/>
  <c r="B20" i="1" s="1"/>
  <c r="B24" i="1" s="1"/>
  <c r="B50" i="1" s="1"/>
</calcChain>
</file>

<file path=xl/sharedStrings.xml><?xml version="1.0" encoding="utf-8"?>
<sst xmlns="http://schemas.openxmlformats.org/spreadsheetml/2006/main" count="298" uniqueCount="178">
  <si>
    <t>Operating activities</t>
  </si>
  <si>
    <t>Operating profit</t>
  </si>
  <si>
    <t>Depreciation and amortization</t>
  </si>
  <si>
    <t>Impairment</t>
  </si>
  <si>
    <t>Net result on disposal of businesses</t>
  </si>
  <si>
    <t>Other non-cash items of income and expense</t>
  </si>
  <si>
    <t>Cash flow before changes in operating assets and liabilities</t>
  </si>
  <si>
    <t>Decrease/(increase) in working capital</t>
  </si>
  <si>
    <t>Variation of other operating assets and liabilities</t>
  </si>
  <si>
    <t>Cash generated from operations</t>
  </si>
  <si>
    <t>Interest paid</t>
  </si>
  <si>
    <t>Interest and dividends received</t>
  </si>
  <si>
    <t>Taxes paid</t>
  </si>
  <si>
    <t>Dividends and interest from associates and joint ventures</t>
  </si>
  <si>
    <t>Operating cash flow</t>
  </si>
  <si>
    <t>Investing activities</t>
  </si>
  <si>
    <t>Capital expenditure</t>
  </si>
  <si>
    <t>Expenditure on intangible assets</t>
  </si>
  <si>
    <t>Acquisition of businesses, net of cash acquired</t>
  </si>
  <si>
    <t>Disposal of businesses, net of cash disposed of</t>
  </si>
  <si>
    <t>Investments (net of divestments) in associates and joint ventures</t>
  </si>
  <si>
    <t>Inflows/(outflows) from treasury investments</t>
  </si>
  <si>
    <t>Other investing activities (a)</t>
  </si>
  <si>
    <t>Investing cash flow</t>
  </si>
  <si>
    <t>Financing activities</t>
  </si>
  <si>
    <t>Dividend paid to shareholders of the parent</t>
  </si>
  <si>
    <t>Dividends paid to non-controlling interests</t>
  </si>
  <si>
    <t>Acquisition of non-controlling interests</t>
  </si>
  <si>
    <t>Purchase of treasury shares (b)</t>
  </si>
  <si>
    <t xml:space="preserve">Inflows from bonds and other long-term financial debt </t>
  </si>
  <si>
    <t xml:space="preserve">Outflows from bonds, lease liabilities and other long-term financial debt </t>
  </si>
  <si>
    <t>Inflows/(outflows) from short-term financial debt</t>
  </si>
  <si>
    <t>Financing cash flow</t>
  </si>
  <si>
    <t>Currency retranslations</t>
  </si>
  <si>
    <t>Increase/(decrease) in cash and cash equivalents</t>
  </si>
  <si>
    <t>Cash and cash equivalents at beginning of year (c)</t>
  </si>
  <si>
    <t xml:space="preserve">Cash and cash equivalents at end of year </t>
  </si>
  <si>
    <t>2023</t>
  </si>
  <si>
    <t>2022</t>
  </si>
  <si>
    <t>Sales</t>
  </si>
  <si>
    <t>Other revenue</t>
  </si>
  <si>
    <t>Cost of goods sold</t>
  </si>
  <si>
    <t>Distribution expenses</t>
  </si>
  <si>
    <t>Marketing and administration expenses</t>
  </si>
  <si>
    <t xml:space="preserve">Research and development costs </t>
  </si>
  <si>
    <t>Other trading income</t>
  </si>
  <si>
    <t>Other trading expenses</t>
  </si>
  <si>
    <t>Trading operating profit</t>
  </si>
  <si>
    <t>Other operating income</t>
  </si>
  <si>
    <t>Other operating expenses</t>
  </si>
  <si>
    <t>Financial income</t>
  </si>
  <si>
    <t>Financial expense</t>
  </si>
  <si>
    <t>Profit before taxes, associates and joint ventures</t>
  </si>
  <si>
    <t>Taxes</t>
  </si>
  <si>
    <t>Income from associates and joint ventures</t>
  </si>
  <si>
    <t>Profit for the year</t>
  </si>
  <si>
    <t>of which attributable to non-controlling interests</t>
  </si>
  <si>
    <t>of which attributable to shareholders of the parent (Net profit)</t>
  </si>
  <si>
    <t>As percentages of sales</t>
  </si>
  <si>
    <t>Profit for the year attributable to shareholders of the parent (Net profit)</t>
  </si>
  <si>
    <t>Earnings per share (in CHF)</t>
  </si>
  <si>
    <t>Basic earnings per share</t>
  </si>
  <si>
    <t>Diluted earnings per share</t>
  </si>
  <si>
    <t>Assets</t>
  </si>
  <si>
    <t>Current assets</t>
  </si>
  <si>
    <t>Cash and cash equivalents</t>
  </si>
  <si>
    <t>Short-term investments</t>
  </si>
  <si>
    <t>Inventories</t>
  </si>
  <si>
    <t>Trade and other receivables</t>
  </si>
  <si>
    <t>Prepayments</t>
  </si>
  <si>
    <t>Derivative assets</t>
  </si>
  <si>
    <t>Current income tax assets</t>
  </si>
  <si>
    <t>Assets held for sale</t>
  </si>
  <si>
    <t>Total current assets</t>
  </si>
  <si>
    <t>Non-current assets</t>
  </si>
  <si>
    <t>Property, plant and equipment</t>
  </si>
  <si>
    <t>Goodwill</t>
  </si>
  <si>
    <t>Intangible assets</t>
  </si>
  <si>
    <t>Investments in associates and joint ventures</t>
  </si>
  <si>
    <t>Financial assets</t>
  </si>
  <si>
    <t>Employee benefits assets and reimbursement rights</t>
  </si>
  <si>
    <t>Deferred tax assets</t>
  </si>
  <si>
    <t>Total non-current assets</t>
  </si>
  <si>
    <t>Total assets</t>
  </si>
  <si>
    <t>Liabilities and equity</t>
  </si>
  <si>
    <t>Current liabilities</t>
  </si>
  <si>
    <t>Financial debt</t>
  </si>
  <si>
    <t>Derivative liabilities</t>
  </si>
  <si>
    <t>Trade and other payables</t>
  </si>
  <si>
    <t>Accruals</t>
  </si>
  <si>
    <t>Provisions</t>
  </si>
  <si>
    <t>Current income tax liabilities</t>
  </si>
  <si>
    <t xml:space="preserve">Liabilities directly associated with assets held for sale </t>
  </si>
  <si>
    <t xml:space="preserve"> — </t>
  </si>
  <si>
    <t>Total current liabilities</t>
  </si>
  <si>
    <t>Non-current liabilities</t>
  </si>
  <si>
    <t>Employee benefits liabilities</t>
  </si>
  <si>
    <t>Deferred tax liabilities</t>
  </si>
  <si>
    <t>Other payables</t>
  </si>
  <si>
    <t>Total non-current liabilities</t>
  </si>
  <si>
    <t>Total liabilities</t>
  </si>
  <si>
    <t>Equity</t>
  </si>
  <si>
    <t xml:space="preserve">Share capital </t>
  </si>
  <si>
    <t xml:space="preserve">Treasury shares </t>
  </si>
  <si>
    <t>Translation reserve</t>
  </si>
  <si>
    <t>Other reserves</t>
  </si>
  <si>
    <t>Retained earnings</t>
  </si>
  <si>
    <t>Total equity attributable to shareholders of the parent</t>
  </si>
  <si>
    <t>Non-controlling interests</t>
  </si>
  <si>
    <t>Total equity</t>
  </si>
  <si>
    <t>Total liabilities and equity</t>
  </si>
  <si>
    <t>Profit for the year recognized in the income statement</t>
  </si>
  <si>
    <t>Currency retranslations, net of taxes</t>
  </si>
  <si>
    <t>Changes in cash flow hedge and cost of hedge reserves, net of taxes</t>
  </si>
  <si>
    <t>Share of other comprehensive income of associates and joint ventures</t>
  </si>
  <si>
    <t>Items that are or may be reclassified subsequently to the income statement</t>
  </si>
  <si>
    <t>Remeasurement of defined benefit plans, net of taxes</t>
  </si>
  <si>
    <t>Fair value changes of equity instruments, net of taxes</t>
  </si>
  <si>
    <t>Items that will never be reclassified to the income statement</t>
  </si>
  <si>
    <t>Other comprehensive income for the year</t>
  </si>
  <si>
    <t>Total comprehensive income for the year</t>
  </si>
  <si>
    <t xml:space="preserve">     of which attributable to non-controlling interests</t>
  </si>
  <si>
    <t xml:space="preserve">     of which attributable to shareholders of the parent</t>
  </si>
  <si>
    <t xml:space="preserve"> Share 
 capital</t>
  </si>
  <si>
    <t xml:space="preserve"> Treasury
 shares</t>
  </si>
  <si>
    <t xml:space="preserve"> Translation 
 reserve</t>
  </si>
  <si>
    <t>Other
reserves</t>
  </si>
  <si>
    <t xml:space="preserve"> Retained
 earnings</t>
  </si>
  <si>
    <t xml:space="preserve"> Total 
 equity</t>
  </si>
  <si>
    <t>Equity as at January 1, 2022</t>
  </si>
  <si>
    <t>—</t>
  </si>
  <si>
    <t>Dividends</t>
  </si>
  <si>
    <t xml:space="preserve">Movement of treasury shares </t>
  </si>
  <si>
    <t>Equity compensation plans</t>
  </si>
  <si>
    <t>Changes in non-controlling interests (a)</t>
  </si>
  <si>
    <t>Reduction in share capital (b)</t>
  </si>
  <si>
    <t>Total transactions with owners</t>
  </si>
  <si>
    <t>Other movements (c)</t>
  </si>
  <si>
    <t>Equity as at December 31, 2022</t>
  </si>
  <si>
    <t>Equity as at January 1, 2023</t>
  </si>
  <si>
    <t>Equity as at December 31, 2023</t>
  </si>
  <si>
    <t xml:space="preserve">Income Statement </t>
  </si>
  <si>
    <t>Balance Sheet</t>
  </si>
  <si>
    <t>Statement of Cash Flow</t>
  </si>
  <si>
    <t>Consolidated statement of changes in equity</t>
  </si>
  <si>
    <t>Statement of Comprehensive Income</t>
  </si>
  <si>
    <t xml:space="preserve"> Non-controlling interests</t>
  </si>
  <si>
    <t xml:space="preserve"> Total equity attributable to shareholders of the parent</t>
  </si>
  <si>
    <t>FTD --&gt; VGE</t>
  </si>
  <si>
    <t>RE ou RO</t>
  </si>
  <si>
    <t>- impôt sur RE</t>
  </si>
  <si>
    <t>+ dotations au amortissements et provisions</t>
  </si>
  <si>
    <t>- reprise des provisions</t>
  </si>
  <si>
    <t>-variation du BFR</t>
  </si>
  <si>
    <t>- investissement brut de l'exercice</t>
  </si>
  <si>
    <t>FTA --&gt; Vcp</t>
  </si>
  <si>
    <t>RN</t>
  </si>
  <si>
    <t>- remboursement de dettes</t>
  </si>
  <si>
    <t>+ emissions de dettes</t>
  </si>
  <si>
    <t>N</t>
  </si>
  <si>
    <t>Cash Flow</t>
  </si>
  <si>
    <t>N+1</t>
  </si>
  <si>
    <t>N+2</t>
  </si>
  <si>
    <t>N+3</t>
  </si>
  <si>
    <t>N+4</t>
  </si>
  <si>
    <t>N+5</t>
  </si>
  <si>
    <t>2021</t>
  </si>
  <si>
    <t>2020</t>
  </si>
  <si>
    <t>2019</t>
  </si>
  <si>
    <t>2018</t>
  </si>
  <si>
    <t>2017</t>
  </si>
  <si>
    <t>2016</t>
  </si>
  <si>
    <t>2015</t>
  </si>
  <si>
    <t>2014</t>
  </si>
  <si>
    <t>Croissance/an</t>
  </si>
  <si>
    <t>Moyenne</t>
  </si>
  <si>
    <t>VA</t>
  </si>
  <si>
    <t>Croissance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</si>
</sst>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" xfId="0" applyBorder="1"/>
    <xf numFmtId="0" fontId="0" fillId="0" borderId="14" xfId="0" applyBorder="1"/>
    <xf numFmtId="0" fontId="0" fillId="2" borderId="13" xfId="0" applyFill="1" applyBorder="1"/>
    <xf numFmtId="0" fontId="0" fillId="2" borderId="1" xfId="0" applyFill="1" applyBorder="1"/>
    <xf numFmtId="0" fontId="0" fillId="2" borderId="14" xfId="0" applyFill="1" applyBorder="1"/>
    <xf numFmtId="164" fontId="0" fillId="0" borderId="11" xfId="1" applyNumberFormat="1" applyFont="1" applyBorder="1"/>
    <xf numFmtId="164" fontId="0" fillId="0" borderId="6" xfId="1" applyNumberFormat="1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64" fontId="0" fillId="0" borderId="19" xfId="1" applyNumberFormat="1" applyFont="1" applyBorder="1"/>
    <xf numFmtId="0" fontId="0" fillId="0" borderId="20" xfId="0" applyBorder="1"/>
    <xf numFmtId="0" fontId="0" fillId="0" borderId="21" xfId="0" applyBorder="1"/>
    <xf numFmtId="164" fontId="0" fillId="0" borderId="23" xfId="1" applyNumberFormat="1" applyFont="1" applyBorder="1"/>
    <xf numFmtId="0" fontId="2" fillId="2" borderId="13" xfId="0" applyFont="1" applyFill="1" applyBorder="1"/>
    <xf numFmtId="0" fontId="2" fillId="2" borderId="1" xfId="0" applyFont="1" applyFill="1" applyBorder="1"/>
    <xf numFmtId="0" fontId="2" fillId="2" borderId="14" xfId="0" applyFont="1" applyFill="1" applyBorder="1"/>
    <xf numFmtId="0" fontId="0" fillId="0" borderId="24" xfId="0" applyBorder="1"/>
    <xf numFmtId="0" fontId="0" fillId="0" borderId="0" xfId="0" applyAlignment="1">
      <alignment horizontal="right"/>
    </xf>
    <xf numFmtId="0" fontId="0" fillId="0" borderId="11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2" borderId="24" xfId="0" applyFill="1" applyBorder="1" applyAlignment="1">
      <alignment horizontal="right"/>
    </xf>
    <xf numFmtId="0" fontId="0" fillId="2" borderId="14" xfId="0" applyFill="1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25" xfId="0" applyBorder="1" applyAlignment="1">
      <alignment horizontal="right"/>
    </xf>
    <xf numFmtId="0" fontId="0" fillId="0" borderId="21" xfId="0" applyBorder="1" applyAlignment="1">
      <alignment horizontal="right"/>
    </xf>
    <xf numFmtId="0" fontId="0" fillId="0" borderId="26" xfId="0" applyBorder="1"/>
    <xf numFmtId="0" fontId="0" fillId="0" borderId="22" xfId="0" applyBorder="1" applyAlignment="1">
      <alignment horizontal="right"/>
    </xf>
    <xf numFmtId="0" fontId="0" fillId="0" borderId="27" xfId="0" applyBorder="1" applyAlignment="1">
      <alignment horizontal="right"/>
    </xf>
    <xf numFmtId="0" fontId="0" fillId="0" borderId="28" xfId="0" applyBorder="1"/>
    <xf numFmtId="49" fontId="0" fillId="0" borderId="0" xfId="0" applyNumberFormat="1"/>
    <xf numFmtId="0" fontId="2" fillId="2" borderId="24" xfId="0" applyFont="1" applyFill="1" applyBorder="1"/>
    <xf numFmtId="0" fontId="2" fillId="0" borderId="13" xfId="0" applyFont="1" applyBorder="1"/>
    <xf numFmtId="0" fontId="2" fillId="0" borderId="24" xfId="0" applyFont="1" applyBorder="1"/>
    <xf numFmtId="0" fontId="0" fillId="0" borderId="29" xfId="0" applyBorder="1"/>
    <xf numFmtId="0" fontId="0" fillId="0" borderId="30" xfId="0" applyBorder="1"/>
    <xf numFmtId="0" fontId="0" fillId="0" borderId="25" xfId="0" applyBorder="1"/>
    <xf numFmtId="0" fontId="0" fillId="0" borderId="3" xfId="0" applyBorder="1"/>
    <xf numFmtId="0" fontId="0" fillId="0" borderId="8" xfId="0" applyBorder="1"/>
    <xf numFmtId="0" fontId="2" fillId="0" borderId="1" xfId="0" applyFont="1" applyBorder="1"/>
    <xf numFmtId="0" fontId="0" fillId="0" borderId="19" xfId="0" applyBorder="1"/>
    <xf numFmtId="164" fontId="0" fillId="0" borderId="0" xfId="1" applyNumberFormat="1" applyFont="1"/>
    <xf numFmtId="10" fontId="0" fillId="0" borderId="0" xfId="1" applyNumberFormat="1" applyFont="1"/>
    <xf numFmtId="10" fontId="0" fillId="0" borderId="0" xfId="0" applyNumberFormat="1"/>
    <xf numFmtId="49" fontId="0" fillId="0" borderId="5" xfId="0" applyNumberFormat="1" applyBorder="1"/>
    <xf numFmtId="49" fontId="0" fillId="0" borderId="7" xfId="0" applyNumberFormat="1" applyBorder="1"/>
    <xf numFmtId="49" fontId="0" fillId="0" borderId="13" xfId="0" applyNumberFormat="1" applyBorder="1"/>
    <xf numFmtId="2" fontId="0" fillId="0" borderId="0" xfId="0" applyNumberFormat="1"/>
    <xf numFmtId="2" fontId="0" fillId="0" borderId="10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49" fontId="0" fillId="0" borderId="1" xfId="0" applyNumberFormat="1" applyBorder="1"/>
    <xf numFmtId="2" fontId="0" fillId="0" borderId="1" xfId="0" applyNumberFormat="1" applyBorder="1"/>
    <xf numFmtId="0" fontId="3" fillId="0" borderId="13" xfId="0" applyFont="1" applyBorder="1" applyAlignment="1">
      <alignment horizontal="left"/>
    </xf>
    <xf numFmtId="0" fontId="3" fillId="0" borderId="24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0" fillId="0" borderId="13" xfId="0" applyBorder="1"/>
    <xf numFmtId="0" fontId="0" fillId="0" borderId="24" xfId="0" applyBorder="1"/>
    <xf numFmtId="0" fontId="0" fillId="0" borderId="14" xfId="0" applyBorder="1"/>
    <xf numFmtId="0" fontId="3" fillId="0" borderId="13" xfId="0" applyFont="1" applyBorder="1"/>
    <xf numFmtId="0" fontId="3" fillId="0" borderId="24" xfId="0" applyFont="1" applyBorder="1"/>
    <xf numFmtId="0" fontId="3" fillId="0" borderId="14" xfId="0" applyFont="1" applyBorder="1"/>
    <xf numFmtId="49" fontId="0" fillId="0" borderId="24" xfId="0" applyNumberFormat="1" applyBorder="1"/>
    <xf numFmtId="49" fontId="0" fillId="0" borderId="14" xfId="0" applyNumberFormat="1" applyBorder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F37EC-3FC1-4048-9F14-77C3F67370F5}">
  <dimension ref="A1:O64"/>
  <sheetViews>
    <sheetView tabSelected="1" workbookViewId="0">
      <selection activeCell="A2" sqref="A2"/>
    </sheetView>
  </sheetViews>
  <sheetFormatPr baseColWidth="10" defaultRowHeight="15.75" x14ac:dyDescent="0.25"/>
  <cols>
    <col min="1" max="1" width="38.5" customWidth="1"/>
    <col min="3" max="4" width="12.625" bestFit="1" customWidth="1"/>
    <col min="5" max="5" width="25" customWidth="1"/>
    <col min="6" max="7" width="12.625" bestFit="1" customWidth="1"/>
    <col min="9" max="9" width="23.875" customWidth="1"/>
    <col min="13" max="13" width="46.375" customWidth="1"/>
  </cols>
  <sheetData>
    <row r="1" spans="1:15" ht="27" thickBot="1" x14ac:dyDescent="0.45">
      <c r="A1" s="71" t="s">
        <v>141</v>
      </c>
      <c r="B1" s="72"/>
      <c r="C1" s="73"/>
      <c r="E1" s="77" t="s">
        <v>142</v>
      </c>
      <c r="F1" s="78"/>
      <c r="G1" s="78"/>
      <c r="H1" s="78"/>
      <c r="I1" s="78"/>
      <c r="J1" s="78"/>
      <c r="K1" s="79"/>
      <c r="M1" s="77" t="s">
        <v>143</v>
      </c>
      <c r="N1" s="78"/>
      <c r="O1" s="79"/>
    </row>
    <row r="2" spans="1:15" ht="16.5" thickBot="1" x14ac:dyDescent="0.3">
      <c r="A2" s="1"/>
      <c r="B2" s="7" t="s">
        <v>37</v>
      </c>
      <c r="C2" s="2" t="s">
        <v>38</v>
      </c>
      <c r="E2" s="13" t="s">
        <v>63</v>
      </c>
      <c r="F2" s="14" t="s">
        <v>37</v>
      </c>
      <c r="G2" s="15" t="s">
        <v>38</v>
      </c>
      <c r="I2" s="13" t="s">
        <v>84</v>
      </c>
      <c r="J2" s="14" t="s">
        <v>37</v>
      </c>
      <c r="K2" s="15" t="s">
        <v>38</v>
      </c>
      <c r="M2" s="13"/>
      <c r="N2" s="14">
        <v>2023</v>
      </c>
      <c r="O2" s="14">
        <v>2022</v>
      </c>
    </row>
    <row r="3" spans="1:15" ht="16.5" thickBot="1" x14ac:dyDescent="0.3">
      <c r="A3" s="26" t="s">
        <v>39</v>
      </c>
      <c r="B3" s="27">
        <v>92998</v>
      </c>
      <c r="C3" s="28">
        <v>94424</v>
      </c>
      <c r="E3" s="3" t="s">
        <v>64</v>
      </c>
      <c r="F3" s="8"/>
      <c r="G3" s="4"/>
      <c r="I3" s="3" t="s">
        <v>85</v>
      </c>
      <c r="J3" s="8"/>
      <c r="K3" s="4"/>
      <c r="M3" s="3" t="s">
        <v>0</v>
      </c>
      <c r="N3" s="8"/>
      <c r="O3" s="8"/>
    </row>
    <row r="4" spans="1:15" x14ac:dyDescent="0.25">
      <c r="A4" s="3"/>
      <c r="B4" s="8"/>
      <c r="C4" s="4"/>
      <c r="E4" s="3" t="s">
        <v>65</v>
      </c>
      <c r="F4" s="8">
        <v>4816</v>
      </c>
      <c r="G4" s="4">
        <v>5511</v>
      </c>
      <c r="I4" s="3" t="s">
        <v>86</v>
      </c>
      <c r="J4" s="8">
        <v>9416</v>
      </c>
      <c r="K4" s="4">
        <v>10892</v>
      </c>
      <c r="M4" s="3" t="s">
        <v>1</v>
      </c>
      <c r="N4" s="8">
        <v>14063</v>
      </c>
      <c r="O4" s="8">
        <v>12326</v>
      </c>
    </row>
    <row r="5" spans="1:15" x14ac:dyDescent="0.25">
      <c r="A5" s="3" t="s">
        <v>40</v>
      </c>
      <c r="B5" s="8">
        <v>353</v>
      </c>
      <c r="C5" s="4">
        <v>356</v>
      </c>
      <c r="E5" s="3" t="s">
        <v>66</v>
      </c>
      <c r="F5" s="8">
        <v>1035</v>
      </c>
      <c r="G5" s="4">
        <v>1176</v>
      </c>
      <c r="I5" s="3" t="s">
        <v>87</v>
      </c>
      <c r="J5" s="8">
        <v>317</v>
      </c>
      <c r="K5" s="4">
        <v>352</v>
      </c>
      <c r="M5" s="3" t="s">
        <v>2</v>
      </c>
      <c r="N5" s="8">
        <v>3458</v>
      </c>
      <c r="O5" s="8">
        <v>3541</v>
      </c>
    </row>
    <row r="6" spans="1:15" x14ac:dyDescent="0.25">
      <c r="A6" s="3" t="s">
        <v>41</v>
      </c>
      <c r="B6" s="8">
        <v>-50328</v>
      </c>
      <c r="C6" s="4">
        <v>-51745</v>
      </c>
      <c r="E6" s="3" t="s">
        <v>67</v>
      </c>
      <c r="F6" s="8">
        <v>11896</v>
      </c>
      <c r="G6" s="4">
        <v>15019</v>
      </c>
      <c r="I6" s="3" t="s">
        <v>88</v>
      </c>
      <c r="J6" s="8">
        <v>19204</v>
      </c>
      <c r="K6" s="4">
        <v>20523</v>
      </c>
      <c r="M6" s="3" t="s">
        <v>3</v>
      </c>
      <c r="N6" s="8">
        <v>647</v>
      </c>
      <c r="O6" s="8">
        <v>2726</v>
      </c>
    </row>
    <row r="7" spans="1:15" x14ac:dyDescent="0.25">
      <c r="A7" s="3" t="s">
        <v>42</v>
      </c>
      <c r="B7" s="8">
        <v>-7765</v>
      </c>
      <c r="C7" s="4">
        <v>-8386</v>
      </c>
      <c r="E7" s="3" t="s">
        <v>68</v>
      </c>
      <c r="F7" s="8">
        <v>10995</v>
      </c>
      <c r="G7" s="4">
        <v>11116</v>
      </c>
      <c r="I7" s="3" t="s">
        <v>89</v>
      </c>
      <c r="J7" s="8">
        <v>5112</v>
      </c>
      <c r="K7" s="4">
        <v>5114</v>
      </c>
      <c r="M7" s="3" t="s">
        <v>4</v>
      </c>
      <c r="N7" s="8">
        <v>221</v>
      </c>
      <c r="O7" s="8">
        <v>79</v>
      </c>
    </row>
    <row r="8" spans="1:15" ht="16.5" thickBot="1" x14ac:dyDescent="0.3">
      <c r="A8" s="3" t="s">
        <v>43</v>
      </c>
      <c r="B8" s="8">
        <v>-17549</v>
      </c>
      <c r="C8" s="4">
        <v>-16850</v>
      </c>
      <c r="E8" s="3" t="s">
        <v>69</v>
      </c>
      <c r="F8" s="8">
        <v>521</v>
      </c>
      <c r="G8" s="4">
        <v>549</v>
      </c>
      <c r="I8" s="3" t="s">
        <v>90</v>
      </c>
      <c r="J8" s="8">
        <v>675</v>
      </c>
      <c r="K8" s="4">
        <v>620</v>
      </c>
      <c r="M8" s="3" t="s">
        <v>5</v>
      </c>
      <c r="N8" s="8">
        <v>82</v>
      </c>
      <c r="O8" s="8">
        <v>216</v>
      </c>
    </row>
    <row r="9" spans="1:15" ht="16.5" thickBot="1" x14ac:dyDescent="0.3">
      <c r="A9" s="3" t="s">
        <v>44</v>
      </c>
      <c r="B9" s="8">
        <v>-1656</v>
      </c>
      <c r="C9" s="4">
        <v>-1696</v>
      </c>
      <c r="E9" s="3" t="s">
        <v>70</v>
      </c>
      <c r="F9" s="8">
        <v>278</v>
      </c>
      <c r="G9" s="4">
        <v>309</v>
      </c>
      <c r="I9" s="3" t="s">
        <v>91</v>
      </c>
      <c r="J9" s="8">
        <v>2360</v>
      </c>
      <c r="K9" s="4">
        <v>2447</v>
      </c>
      <c r="M9" s="26" t="s">
        <v>6</v>
      </c>
      <c r="N9" s="27">
        <f>SUM(N4:N8)</f>
        <v>18471</v>
      </c>
      <c r="O9" s="27">
        <f>SUM(O4:O8)</f>
        <v>18888</v>
      </c>
    </row>
    <row r="10" spans="1:15" ht="16.5" thickBot="1" x14ac:dyDescent="0.3">
      <c r="A10" s="3" t="s">
        <v>45</v>
      </c>
      <c r="B10" s="8">
        <v>132</v>
      </c>
      <c r="C10" s="4">
        <v>107</v>
      </c>
      <c r="E10" s="3" t="s">
        <v>71</v>
      </c>
      <c r="F10" s="8">
        <v>1284</v>
      </c>
      <c r="G10" s="4">
        <v>1285</v>
      </c>
      <c r="I10" s="3" t="s">
        <v>92</v>
      </c>
      <c r="J10" s="31" t="s">
        <v>93</v>
      </c>
      <c r="K10" s="4">
        <v>28</v>
      </c>
      <c r="M10" s="3"/>
      <c r="N10" s="8"/>
      <c r="O10" s="8"/>
    </row>
    <row r="11" spans="1:15" ht="16.5" thickBot="1" x14ac:dyDescent="0.3">
      <c r="A11" s="3" t="s">
        <v>46</v>
      </c>
      <c r="B11" s="8">
        <v>-1665</v>
      </c>
      <c r="C11" s="4">
        <v>-3015</v>
      </c>
      <c r="E11" s="3" t="s">
        <v>72</v>
      </c>
      <c r="F11" s="8">
        <v>32</v>
      </c>
      <c r="G11" s="4">
        <v>97</v>
      </c>
      <c r="I11" s="26" t="s">
        <v>94</v>
      </c>
      <c r="J11" s="27">
        <v>37084</v>
      </c>
      <c r="K11" s="28">
        <v>39976</v>
      </c>
      <c r="M11" s="3" t="s">
        <v>7</v>
      </c>
      <c r="N11" s="8">
        <v>1134</v>
      </c>
      <c r="O11" s="8">
        <v>-3133</v>
      </c>
    </row>
    <row r="12" spans="1:15" ht="16.5" thickBot="1" x14ac:dyDescent="0.3">
      <c r="A12" s="26" t="s">
        <v>47</v>
      </c>
      <c r="B12" s="27">
        <f>B3+SUM(B5:B11)</f>
        <v>14520</v>
      </c>
      <c r="C12" s="27">
        <f>C3+SUM(C5:C11)</f>
        <v>13195</v>
      </c>
      <c r="E12" s="26" t="s">
        <v>73</v>
      </c>
      <c r="F12" s="27">
        <v>30857</v>
      </c>
      <c r="G12" s="28">
        <v>35062</v>
      </c>
      <c r="I12" s="3"/>
      <c r="J12" s="8"/>
      <c r="K12" s="4"/>
      <c r="M12" s="3" t="s">
        <v>8</v>
      </c>
      <c r="N12" s="8">
        <v>-425</v>
      </c>
      <c r="O12" s="8">
        <v>-514</v>
      </c>
    </row>
    <row r="13" spans="1:15" ht="16.5" thickBot="1" x14ac:dyDescent="0.3">
      <c r="A13" s="3"/>
      <c r="B13" s="8"/>
      <c r="C13" s="4"/>
      <c r="E13" s="3"/>
      <c r="F13" s="8"/>
      <c r="G13" s="4"/>
      <c r="I13" s="3" t="s">
        <v>95</v>
      </c>
      <c r="J13" s="8"/>
      <c r="K13" s="4"/>
      <c r="M13" s="26" t="s">
        <v>9</v>
      </c>
      <c r="N13" s="27">
        <f>N9+N11+N12</f>
        <v>19180</v>
      </c>
      <c r="O13" s="27">
        <f>O9+O11+O12</f>
        <v>15241</v>
      </c>
    </row>
    <row r="14" spans="1:15" x14ac:dyDescent="0.25">
      <c r="A14" s="3" t="s">
        <v>48</v>
      </c>
      <c r="B14" s="8">
        <v>298</v>
      </c>
      <c r="C14" s="4">
        <v>340</v>
      </c>
      <c r="E14" s="3" t="s">
        <v>74</v>
      </c>
      <c r="F14" s="8"/>
      <c r="G14" s="4"/>
      <c r="I14" s="3" t="s">
        <v>86</v>
      </c>
      <c r="J14" s="8">
        <v>45825</v>
      </c>
      <c r="K14" s="4">
        <v>43420</v>
      </c>
      <c r="M14" s="3"/>
      <c r="N14" s="8"/>
      <c r="O14" s="8"/>
    </row>
    <row r="15" spans="1:15" ht="16.5" thickBot="1" x14ac:dyDescent="0.3">
      <c r="A15" s="3" t="s">
        <v>49</v>
      </c>
      <c r="B15" s="8">
        <v>-755</v>
      </c>
      <c r="C15" s="4">
        <v>-1209</v>
      </c>
      <c r="E15" s="3" t="s">
        <v>75</v>
      </c>
      <c r="F15" s="8">
        <v>30467</v>
      </c>
      <c r="G15" s="4">
        <v>30141</v>
      </c>
      <c r="I15" s="3" t="s">
        <v>87</v>
      </c>
      <c r="J15" s="8">
        <v>239</v>
      </c>
      <c r="K15" s="4">
        <v>470</v>
      </c>
      <c r="M15" s="3" t="s">
        <v>10</v>
      </c>
      <c r="N15" s="8">
        <v>-1330</v>
      </c>
      <c r="O15" s="8">
        <v>-953</v>
      </c>
    </row>
    <row r="16" spans="1:15" ht="16.5" thickBot="1" x14ac:dyDescent="0.3">
      <c r="A16" s="26" t="s">
        <v>1</v>
      </c>
      <c r="B16" s="27">
        <f>B12+B14+B15</f>
        <v>14063</v>
      </c>
      <c r="C16" s="27">
        <f>C12+C14+C15</f>
        <v>12326</v>
      </c>
      <c r="E16" s="3" t="s">
        <v>76</v>
      </c>
      <c r="F16" s="8">
        <v>28693</v>
      </c>
      <c r="G16" s="4">
        <v>31262</v>
      </c>
      <c r="I16" s="3" t="s">
        <v>96</v>
      </c>
      <c r="J16" s="8">
        <v>2718</v>
      </c>
      <c r="K16" s="4">
        <v>2884</v>
      </c>
      <c r="M16" s="3" t="s">
        <v>11</v>
      </c>
      <c r="N16" s="8">
        <v>193</v>
      </c>
      <c r="O16" s="8">
        <v>118</v>
      </c>
    </row>
    <row r="17" spans="1:15" x14ac:dyDescent="0.25">
      <c r="A17" s="3"/>
      <c r="B17" s="8"/>
      <c r="C17" s="4"/>
      <c r="E17" s="3" t="s">
        <v>77</v>
      </c>
      <c r="F17" s="8">
        <v>18225</v>
      </c>
      <c r="G17" s="4">
        <v>20237</v>
      </c>
      <c r="I17" s="3" t="s">
        <v>90</v>
      </c>
      <c r="J17" s="8">
        <v>1303</v>
      </c>
      <c r="K17" s="4">
        <v>1113</v>
      </c>
      <c r="M17" s="3" t="s">
        <v>12</v>
      </c>
      <c r="N17" s="8">
        <v>-2801</v>
      </c>
      <c r="O17" s="8">
        <v>-3107</v>
      </c>
    </row>
    <row r="18" spans="1:15" ht="16.5" thickBot="1" x14ac:dyDescent="0.3">
      <c r="A18" s="3" t="s">
        <v>50</v>
      </c>
      <c r="B18" s="8">
        <v>284</v>
      </c>
      <c r="C18" s="4">
        <v>210</v>
      </c>
      <c r="E18" s="3" t="s">
        <v>78</v>
      </c>
      <c r="F18" s="8">
        <v>13088</v>
      </c>
      <c r="G18" s="4">
        <v>13023</v>
      </c>
      <c r="I18" s="3" t="s">
        <v>97</v>
      </c>
      <c r="J18" s="8">
        <v>2886</v>
      </c>
      <c r="K18" s="4">
        <v>3671</v>
      </c>
      <c r="M18" s="3" t="s">
        <v>13</v>
      </c>
      <c r="N18" s="8">
        <v>699</v>
      </c>
      <c r="O18" s="8">
        <v>608</v>
      </c>
    </row>
    <row r="19" spans="1:15" ht="16.5" thickBot="1" x14ac:dyDescent="0.3">
      <c r="A19" s="3" t="s">
        <v>51</v>
      </c>
      <c r="B19" s="8">
        <v>-1644</v>
      </c>
      <c r="C19" s="4">
        <v>-1250</v>
      </c>
      <c r="E19" s="3" t="s">
        <v>79</v>
      </c>
      <c r="F19" s="8">
        <v>2947</v>
      </c>
      <c r="G19" s="4">
        <v>3253</v>
      </c>
      <c r="I19" s="3" t="s">
        <v>98</v>
      </c>
      <c r="J19" s="8">
        <v>108</v>
      </c>
      <c r="K19" s="4">
        <v>856</v>
      </c>
      <c r="M19" s="26" t="s">
        <v>14</v>
      </c>
      <c r="N19" s="27">
        <f>SUM(N13:N18)</f>
        <v>15941</v>
      </c>
      <c r="O19" s="27">
        <f>SUM(O13:O18)</f>
        <v>11907</v>
      </c>
    </row>
    <row r="20" spans="1:15" ht="16.5" thickBot="1" x14ac:dyDescent="0.3">
      <c r="A20" s="26" t="s">
        <v>52</v>
      </c>
      <c r="B20" s="27">
        <f>B16+B18+B19</f>
        <v>12703</v>
      </c>
      <c r="C20" s="27">
        <f>C16+C18+C19</f>
        <v>11286</v>
      </c>
      <c r="E20" s="3" t="s">
        <v>70</v>
      </c>
      <c r="F20" s="8">
        <v>130</v>
      </c>
      <c r="G20" s="4"/>
      <c r="I20" s="26" t="s">
        <v>99</v>
      </c>
      <c r="J20" s="27">
        <v>53079</v>
      </c>
      <c r="K20" s="28">
        <v>52414</v>
      </c>
      <c r="M20" s="3"/>
      <c r="N20" s="8"/>
      <c r="O20" s="8"/>
    </row>
    <row r="21" spans="1:15" ht="16.5" thickBot="1" x14ac:dyDescent="0.3">
      <c r="A21" s="3"/>
      <c r="B21" s="8"/>
      <c r="C21" s="4"/>
      <c r="E21" s="3" t="s">
        <v>80</v>
      </c>
      <c r="F21" s="8">
        <v>962</v>
      </c>
      <c r="G21" s="4">
        <v>1161</v>
      </c>
      <c r="I21" s="3"/>
      <c r="J21" s="8"/>
      <c r="K21" s="4"/>
      <c r="M21" s="3" t="s">
        <v>15</v>
      </c>
      <c r="N21" s="8"/>
      <c r="O21" s="8"/>
    </row>
    <row r="22" spans="1:15" ht="16.5" thickBot="1" x14ac:dyDescent="0.3">
      <c r="A22" s="3" t="s">
        <v>53</v>
      </c>
      <c r="B22" s="8">
        <v>-2314</v>
      </c>
      <c r="C22" s="4">
        <v>-2730</v>
      </c>
      <c r="E22" s="3" t="s">
        <v>81</v>
      </c>
      <c r="F22" s="8">
        <v>1181</v>
      </c>
      <c r="G22" s="4">
        <v>1043</v>
      </c>
      <c r="I22" s="26" t="s">
        <v>100</v>
      </c>
      <c r="J22" s="27">
        <v>90163</v>
      </c>
      <c r="K22" s="28">
        <v>92390</v>
      </c>
      <c r="M22" s="3" t="s">
        <v>16</v>
      </c>
      <c r="N22" s="8">
        <v>-5714</v>
      </c>
      <c r="O22" s="8">
        <v>-5095</v>
      </c>
    </row>
    <row r="23" spans="1:15" ht="16.5" thickBot="1" x14ac:dyDescent="0.3">
      <c r="A23" s="3" t="s">
        <v>54</v>
      </c>
      <c r="B23" s="8">
        <v>1120</v>
      </c>
      <c r="C23" s="4">
        <v>1040</v>
      </c>
      <c r="E23" s="26" t="s">
        <v>82</v>
      </c>
      <c r="F23" s="27">
        <v>95693</v>
      </c>
      <c r="G23" s="28">
        <v>100120</v>
      </c>
      <c r="I23" s="3"/>
      <c r="J23" s="8"/>
      <c r="K23" s="4"/>
      <c r="M23" s="3" t="s">
        <v>17</v>
      </c>
      <c r="N23" s="8">
        <v>-489</v>
      </c>
      <c r="O23" s="8">
        <v>-266</v>
      </c>
    </row>
    <row r="24" spans="1:15" ht="16.5" thickBot="1" x14ac:dyDescent="0.3">
      <c r="A24" s="26" t="s">
        <v>55</v>
      </c>
      <c r="B24" s="27">
        <f>B20+B22+B23</f>
        <v>11509</v>
      </c>
      <c r="C24" s="27">
        <f>C20+C22+C23</f>
        <v>9596</v>
      </c>
      <c r="E24" s="3"/>
      <c r="F24" s="8"/>
      <c r="G24" s="4"/>
      <c r="I24" s="3" t="s">
        <v>101</v>
      </c>
      <c r="J24" s="8"/>
      <c r="K24" s="4"/>
      <c r="M24" s="3" t="s">
        <v>18</v>
      </c>
      <c r="N24" s="8">
        <v>-211</v>
      </c>
      <c r="O24" s="8">
        <v>-1710</v>
      </c>
    </row>
    <row r="25" spans="1:15" ht="16.5" thickBot="1" x14ac:dyDescent="0.3">
      <c r="A25" s="3" t="s">
        <v>56</v>
      </c>
      <c r="B25" s="8">
        <v>300</v>
      </c>
      <c r="C25" s="4">
        <v>326</v>
      </c>
      <c r="E25" s="26" t="s">
        <v>83</v>
      </c>
      <c r="F25" s="27">
        <v>126550</v>
      </c>
      <c r="G25" s="28">
        <v>135182</v>
      </c>
      <c r="I25" s="3" t="s">
        <v>102</v>
      </c>
      <c r="J25" s="8">
        <v>267</v>
      </c>
      <c r="K25" s="4">
        <v>275</v>
      </c>
      <c r="M25" s="3" t="s">
        <v>19</v>
      </c>
      <c r="N25" s="8">
        <v>215</v>
      </c>
      <c r="O25" s="8">
        <v>160</v>
      </c>
    </row>
    <row r="26" spans="1:15" x14ac:dyDescent="0.25">
      <c r="A26" s="3" t="s">
        <v>57</v>
      </c>
      <c r="B26" s="8">
        <v>11209</v>
      </c>
      <c r="C26" s="4">
        <v>9270</v>
      </c>
      <c r="I26" s="3" t="s">
        <v>103</v>
      </c>
      <c r="J26" s="8">
        <v>-5155</v>
      </c>
      <c r="K26" s="4">
        <v>-9303</v>
      </c>
      <c r="M26" s="3" t="s">
        <v>20</v>
      </c>
      <c r="N26" s="8">
        <v>-582</v>
      </c>
      <c r="O26" s="8">
        <v>-918</v>
      </c>
    </row>
    <row r="27" spans="1:15" x14ac:dyDescent="0.25">
      <c r="A27" s="3"/>
      <c r="B27" s="8"/>
      <c r="C27" s="4"/>
      <c r="I27" s="3" t="s">
        <v>104</v>
      </c>
      <c r="J27" s="8">
        <v>-27581</v>
      </c>
      <c r="K27" s="4">
        <v>-23559</v>
      </c>
      <c r="M27" s="3" t="s">
        <v>21</v>
      </c>
      <c r="N27" s="8">
        <v>-80</v>
      </c>
      <c r="O27" s="8">
        <v>5902</v>
      </c>
    </row>
    <row r="28" spans="1:15" ht="16.5" thickBot="1" x14ac:dyDescent="0.3">
      <c r="A28" s="18" t="s">
        <v>58</v>
      </c>
      <c r="B28" s="19"/>
      <c r="C28" s="24"/>
      <c r="I28" s="3" t="s">
        <v>105</v>
      </c>
      <c r="J28" s="8">
        <v>-50</v>
      </c>
      <c r="K28" s="4">
        <v>-63</v>
      </c>
      <c r="M28" s="3" t="s">
        <v>22</v>
      </c>
      <c r="N28" s="8">
        <v>665</v>
      </c>
      <c r="O28" s="8">
        <v>24</v>
      </c>
    </row>
    <row r="29" spans="1:15" ht="16.5" thickBot="1" x14ac:dyDescent="0.3">
      <c r="A29" s="20" t="s">
        <v>47</v>
      </c>
      <c r="B29" s="16">
        <v>0.156</v>
      </c>
      <c r="C29" s="17">
        <v>0.14000000000000001</v>
      </c>
      <c r="I29" s="3" t="s">
        <v>106</v>
      </c>
      <c r="J29" s="8">
        <v>68261</v>
      </c>
      <c r="K29" s="4">
        <v>74632</v>
      </c>
      <c r="M29" s="26" t="s">
        <v>23</v>
      </c>
      <c r="N29" s="27">
        <f>SUM(N22:N28)</f>
        <v>-6196</v>
      </c>
      <c r="O29" s="27">
        <f>SUM(O22:O28)</f>
        <v>-1903</v>
      </c>
    </row>
    <row r="30" spans="1:15" x14ac:dyDescent="0.25">
      <c r="A30" s="21" t="s">
        <v>59</v>
      </c>
      <c r="B30" s="22">
        <v>0.121</v>
      </c>
      <c r="C30" s="25">
        <v>9.8000000000000004E-2</v>
      </c>
      <c r="I30" s="3" t="s">
        <v>107</v>
      </c>
      <c r="J30" s="8">
        <v>35742</v>
      </c>
      <c r="K30" s="4">
        <v>41982</v>
      </c>
      <c r="M30" s="3"/>
      <c r="N30" s="8"/>
      <c r="O30" s="4"/>
    </row>
    <row r="31" spans="1:15" ht="16.5" thickBot="1" x14ac:dyDescent="0.3">
      <c r="A31" s="3"/>
      <c r="B31" s="8"/>
      <c r="C31" s="4"/>
      <c r="I31" s="3" t="s">
        <v>108</v>
      </c>
      <c r="J31" s="8">
        <v>645</v>
      </c>
      <c r="K31" s="4">
        <v>810</v>
      </c>
      <c r="M31" s="3" t="s">
        <v>24</v>
      </c>
      <c r="N31" s="8"/>
      <c r="O31" s="4"/>
    </row>
    <row r="32" spans="1:15" ht="16.5" thickBot="1" x14ac:dyDescent="0.3">
      <c r="A32" s="23" t="s">
        <v>60</v>
      </c>
      <c r="B32" s="19"/>
      <c r="C32" s="24"/>
      <c r="I32" s="26" t="s">
        <v>109</v>
      </c>
      <c r="J32" s="27">
        <v>36387</v>
      </c>
      <c r="K32" s="28">
        <v>42792</v>
      </c>
      <c r="M32" s="3" t="s">
        <v>25</v>
      </c>
      <c r="N32" s="8">
        <v>-7829</v>
      </c>
      <c r="O32" s="4">
        <v>-7618</v>
      </c>
    </row>
    <row r="33" spans="1:15" ht="16.5" thickBot="1" x14ac:dyDescent="0.3">
      <c r="A33" s="3" t="s">
        <v>61</v>
      </c>
      <c r="B33" s="8">
        <v>4.24</v>
      </c>
      <c r="C33" s="4">
        <v>3.42</v>
      </c>
      <c r="I33" s="3"/>
      <c r="J33" s="8"/>
      <c r="K33" s="4"/>
      <c r="M33" s="3" t="s">
        <v>26</v>
      </c>
      <c r="N33" s="8">
        <v>-323</v>
      </c>
      <c r="O33" s="4">
        <v>-284</v>
      </c>
    </row>
    <row r="34" spans="1:15" ht="16.5" thickBot="1" x14ac:dyDescent="0.3">
      <c r="A34" s="5" t="s">
        <v>62</v>
      </c>
      <c r="B34" s="9">
        <v>4.2300000000000004</v>
      </c>
      <c r="C34" s="6">
        <v>3.42</v>
      </c>
      <c r="I34" s="26" t="s">
        <v>110</v>
      </c>
      <c r="J34" s="27">
        <v>126550</v>
      </c>
      <c r="K34" s="28">
        <v>135182</v>
      </c>
      <c r="M34" s="3" t="s">
        <v>27</v>
      </c>
      <c r="N34" s="8">
        <v>-52</v>
      </c>
      <c r="O34" s="4">
        <v>-605</v>
      </c>
    </row>
    <row r="35" spans="1:15" x14ac:dyDescent="0.25">
      <c r="M35" s="3" t="s">
        <v>28</v>
      </c>
      <c r="N35" s="8">
        <v>-5234</v>
      </c>
      <c r="O35" s="4">
        <v>-10679</v>
      </c>
    </row>
    <row r="36" spans="1:15" x14ac:dyDescent="0.25">
      <c r="M36" s="3" t="s">
        <v>29</v>
      </c>
      <c r="N36" s="8">
        <v>9806</v>
      </c>
      <c r="O36" s="4">
        <v>10936</v>
      </c>
    </row>
    <row r="37" spans="1:15" x14ac:dyDescent="0.25">
      <c r="A37" t="s">
        <v>177</v>
      </c>
      <c r="B37" s="59">
        <v>5.0000000000000001E-3</v>
      </c>
      <c r="M37" s="3" t="s">
        <v>30</v>
      </c>
      <c r="N37" s="8">
        <v>-3589</v>
      </c>
      <c r="O37" s="4">
        <v>-3283</v>
      </c>
    </row>
    <row r="38" spans="1:15" ht="16.5" thickBot="1" x14ac:dyDescent="0.3">
      <c r="M38" s="3" t="s">
        <v>31</v>
      </c>
      <c r="N38" s="8">
        <v>-2537</v>
      </c>
      <c r="O38" s="4">
        <v>148</v>
      </c>
    </row>
    <row r="39" spans="1:15" ht="16.5" thickBot="1" x14ac:dyDescent="0.3">
      <c r="A39" s="10" t="s">
        <v>148</v>
      </c>
      <c r="B39" s="11" t="s">
        <v>159</v>
      </c>
      <c r="C39" s="29" t="s">
        <v>161</v>
      </c>
      <c r="D39" s="11" t="s">
        <v>162</v>
      </c>
      <c r="E39" s="29" t="s">
        <v>163</v>
      </c>
      <c r="F39" s="11" t="s">
        <v>164</v>
      </c>
      <c r="G39" s="12" t="s">
        <v>165</v>
      </c>
      <c r="M39" s="26" t="s">
        <v>32</v>
      </c>
      <c r="N39" s="27">
        <f>SUM(N32:N38)</f>
        <v>-9758</v>
      </c>
      <c r="O39" s="27">
        <f>SUM(O32:O38)</f>
        <v>-11385</v>
      </c>
    </row>
    <row r="40" spans="1:15" x14ac:dyDescent="0.25">
      <c r="A40" s="62" t="s">
        <v>149</v>
      </c>
      <c r="B40" s="8">
        <v>14063</v>
      </c>
      <c r="C40" s="66">
        <f>B40*(1+$B$37)</f>
        <v>14133.314999999999</v>
      </c>
      <c r="D40" s="65">
        <f>C40*(1+$B$37)</f>
        <v>14203.981574999998</v>
      </c>
      <c r="E40" s="66">
        <f>D40*(1+$B$37)</f>
        <v>14275.001482874997</v>
      </c>
      <c r="F40" s="65">
        <f>E40*(1+$B$37)</f>
        <v>14346.376490289371</v>
      </c>
      <c r="G40" s="66">
        <f>F40*(1+$B$37)</f>
        <v>14418.108372740817</v>
      </c>
      <c r="M40" s="3"/>
      <c r="N40" s="8"/>
      <c r="O40" s="8"/>
    </row>
    <row r="41" spans="1:15" ht="16.5" thickBot="1" x14ac:dyDescent="0.3">
      <c r="A41" s="62" t="s">
        <v>150</v>
      </c>
      <c r="B41" s="8">
        <v>-2314</v>
      </c>
      <c r="C41" s="67">
        <f>B41*(1+$B$37)</f>
        <v>-2325.5699999999997</v>
      </c>
      <c r="D41" s="65">
        <f t="shared" ref="D41:G41" si="0">C41*(1+$B$37)</f>
        <v>-2337.1978499999996</v>
      </c>
      <c r="E41" s="67">
        <f t="shared" si="0"/>
        <v>-2348.8838392499993</v>
      </c>
      <c r="F41" s="65">
        <f t="shared" si="0"/>
        <v>-2360.6282584462492</v>
      </c>
      <c r="G41" s="67">
        <f t="shared" si="0"/>
        <v>-2372.4313997384802</v>
      </c>
      <c r="M41" s="3" t="s">
        <v>33</v>
      </c>
      <c r="N41" s="8">
        <v>-682</v>
      </c>
      <c r="O41" s="8">
        <v>-100</v>
      </c>
    </row>
    <row r="42" spans="1:15" ht="16.5" thickBot="1" x14ac:dyDescent="0.3">
      <c r="A42" s="62" t="s">
        <v>151</v>
      </c>
      <c r="B42" s="8"/>
      <c r="C42" s="67"/>
      <c r="E42" s="8"/>
      <c r="G42" s="8"/>
      <c r="M42" s="26" t="s">
        <v>34</v>
      </c>
      <c r="N42" s="27">
        <f>N19+N29+N39+N41</f>
        <v>-695</v>
      </c>
      <c r="O42" s="27">
        <f>O19+O29+O39+O41</f>
        <v>-1481</v>
      </c>
    </row>
    <row r="43" spans="1:15" x14ac:dyDescent="0.25">
      <c r="A43" s="62" t="s">
        <v>152</v>
      </c>
      <c r="B43" s="8">
        <v>445</v>
      </c>
      <c r="C43" s="67">
        <f t="shared" ref="C43:G45" si="1">B43*(1+$B$37)</f>
        <v>447.22499999999997</v>
      </c>
      <c r="D43" s="65">
        <f t="shared" si="1"/>
        <v>449.46112499999992</v>
      </c>
      <c r="E43" s="67">
        <f t="shared" si="1"/>
        <v>451.70843062499989</v>
      </c>
      <c r="F43" s="65">
        <f t="shared" si="1"/>
        <v>453.96697277812484</v>
      </c>
      <c r="G43" s="67">
        <f t="shared" si="1"/>
        <v>456.23680764201544</v>
      </c>
      <c r="M43" s="3"/>
      <c r="N43" s="8"/>
      <c r="O43" s="8"/>
    </row>
    <row r="44" spans="1:15" x14ac:dyDescent="0.25">
      <c r="A44" s="62" t="s">
        <v>153</v>
      </c>
      <c r="B44" s="8">
        <v>-1313</v>
      </c>
      <c r="C44" s="67">
        <f t="shared" si="1"/>
        <v>-1319.5649999999998</v>
      </c>
      <c r="D44" s="65">
        <f t="shared" si="1"/>
        <v>-1326.1628249999997</v>
      </c>
      <c r="E44" s="67">
        <f t="shared" si="1"/>
        <v>-1332.7936391249996</v>
      </c>
      <c r="F44" s="65">
        <f t="shared" si="1"/>
        <v>-1339.4576073206244</v>
      </c>
      <c r="G44" s="67">
        <f t="shared" si="1"/>
        <v>-1346.1548953572274</v>
      </c>
      <c r="M44" s="3" t="s">
        <v>35</v>
      </c>
      <c r="N44" s="8">
        <v>5511</v>
      </c>
      <c r="O44" s="8">
        <v>6992</v>
      </c>
    </row>
    <row r="45" spans="1:15" ht="16.5" thickBot="1" x14ac:dyDescent="0.3">
      <c r="A45" s="62" t="s">
        <v>154</v>
      </c>
      <c r="B45" s="8">
        <v>-6203</v>
      </c>
      <c r="C45" s="68">
        <f t="shared" si="1"/>
        <v>-6234.0149999999994</v>
      </c>
      <c r="D45" s="65">
        <f t="shared" si="1"/>
        <v>-6265.1850749999985</v>
      </c>
      <c r="E45" s="68">
        <f t="shared" si="1"/>
        <v>-6296.5110003749978</v>
      </c>
      <c r="F45" s="65">
        <f t="shared" si="1"/>
        <v>-6327.9935553768719</v>
      </c>
      <c r="G45" s="68">
        <f t="shared" si="1"/>
        <v>-6359.633523153756</v>
      </c>
      <c r="M45" s="3"/>
      <c r="N45" s="8"/>
      <c r="O45" s="8"/>
    </row>
    <row r="46" spans="1:15" ht="16.5" thickBot="1" x14ac:dyDescent="0.3">
      <c r="A46" s="64" t="s">
        <v>160</v>
      </c>
      <c r="B46" s="11">
        <f>SUM(B40:B45)</f>
        <v>4678</v>
      </c>
      <c r="C46" s="11">
        <f t="shared" ref="C46:F46" si="2">SUM(C40:C45)</f>
        <v>4701.3899999999994</v>
      </c>
      <c r="D46" s="11">
        <f t="shared" si="2"/>
        <v>4724.8969499999994</v>
      </c>
      <c r="E46" s="11">
        <f t="shared" si="2"/>
        <v>4748.5214347500005</v>
      </c>
      <c r="F46" s="11">
        <f t="shared" si="2"/>
        <v>4772.2640419237505</v>
      </c>
      <c r="G46" s="11">
        <f>SUM(G40:G45)</f>
        <v>4796.125362133369</v>
      </c>
      <c r="M46" s="26" t="s">
        <v>36</v>
      </c>
      <c r="N46" s="27">
        <f>N42+N44</f>
        <v>4816</v>
      </c>
      <c r="O46" s="27">
        <f>O42+O44</f>
        <v>5511</v>
      </c>
    </row>
    <row r="47" spans="1:15" ht="16.5" thickBot="1" x14ac:dyDescent="0.3">
      <c r="A47" s="64" t="s">
        <v>176</v>
      </c>
      <c r="B47" s="80"/>
      <c r="C47" s="80"/>
      <c r="D47" s="80"/>
      <c r="E47" s="80"/>
      <c r="F47" s="80"/>
      <c r="G47" s="81"/>
    </row>
    <row r="48" spans="1:15" ht="16.5" thickBot="1" x14ac:dyDescent="0.3">
      <c r="A48" s="74"/>
      <c r="B48" s="75"/>
      <c r="C48" s="75"/>
      <c r="D48" s="75"/>
      <c r="E48" s="75"/>
      <c r="F48" s="75"/>
      <c r="G48" s="76"/>
    </row>
    <row r="49" spans="1:7" ht="16.5" thickBot="1" x14ac:dyDescent="0.3">
      <c r="A49" s="64" t="s">
        <v>155</v>
      </c>
      <c r="B49" s="11" t="s">
        <v>159</v>
      </c>
      <c r="C49" s="29" t="s">
        <v>161</v>
      </c>
      <c r="D49" s="11" t="s">
        <v>162</v>
      </c>
      <c r="E49" s="29" t="s">
        <v>163</v>
      </c>
      <c r="F49" s="11" t="s">
        <v>164</v>
      </c>
      <c r="G49" s="12" t="s">
        <v>165</v>
      </c>
    </row>
    <row r="50" spans="1:7" x14ac:dyDescent="0.25">
      <c r="A50" s="62" t="s">
        <v>156</v>
      </c>
      <c r="B50" s="8">
        <f>B24</f>
        <v>11509</v>
      </c>
      <c r="C50" s="65">
        <f>B50*(1+$B$37)</f>
        <v>11566.544999999998</v>
      </c>
      <c r="D50" s="66">
        <f t="shared" ref="D50:E50" si="3">C50*(1+$B$37)</f>
        <v>11624.377724999997</v>
      </c>
      <c r="E50" s="65">
        <f t="shared" si="3"/>
        <v>11682.499613624996</v>
      </c>
      <c r="F50" s="66">
        <f>E50*(1+$B$37)</f>
        <v>11740.91211169312</v>
      </c>
      <c r="G50" s="66">
        <f t="shared" ref="G50" si="4">F50*(1+$B$37)</f>
        <v>11799.616672251585</v>
      </c>
    </row>
    <row r="51" spans="1:7" x14ac:dyDescent="0.25">
      <c r="A51" s="62" t="s">
        <v>151</v>
      </c>
      <c r="B51" s="8"/>
      <c r="C51" s="65"/>
      <c r="D51" s="67"/>
      <c r="E51" s="65"/>
      <c r="F51" s="67"/>
      <c r="G51" s="67"/>
    </row>
    <row r="52" spans="1:7" x14ac:dyDescent="0.25">
      <c r="A52" s="62" t="s">
        <v>152</v>
      </c>
      <c r="B52" s="8">
        <f>445</f>
        <v>445</v>
      </c>
      <c r="C52" s="65">
        <f t="shared" ref="C52:E56" si="5">B52*(1+$B$37)</f>
        <v>447.22499999999997</v>
      </c>
      <c r="D52" s="67">
        <f t="shared" si="5"/>
        <v>449.46112499999992</v>
      </c>
      <c r="E52" s="65">
        <f t="shared" si="5"/>
        <v>451.70843062499989</v>
      </c>
      <c r="F52" s="67">
        <f t="shared" ref="F52:G52" si="6">E52*(1+$B$37)</f>
        <v>453.96697277812484</v>
      </c>
      <c r="G52" s="67">
        <f t="shared" si="6"/>
        <v>456.23680764201544</v>
      </c>
    </row>
    <row r="53" spans="1:7" x14ac:dyDescent="0.25">
      <c r="A53" s="62" t="s">
        <v>153</v>
      </c>
      <c r="B53" s="8">
        <v>-1313</v>
      </c>
      <c r="C53" s="65">
        <f t="shared" si="5"/>
        <v>-1319.5649999999998</v>
      </c>
      <c r="D53" s="67">
        <f t="shared" si="5"/>
        <v>-1326.1628249999997</v>
      </c>
      <c r="E53" s="65">
        <f t="shared" si="5"/>
        <v>-1332.7936391249996</v>
      </c>
      <c r="F53" s="67">
        <f t="shared" ref="F53:G53" si="7">E53*(1+$B$37)</f>
        <v>-1339.4576073206244</v>
      </c>
      <c r="G53" s="67">
        <f t="shared" si="7"/>
        <v>-1346.1548953572274</v>
      </c>
    </row>
    <row r="54" spans="1:7" x14ac:dyDescent="0.25">
      <c r="A54" s="62" t="s">
        <v>154</v>
      </c>
      <c r="B54" s="8">
        <v>-6203</v>
      </c>
      <c r="C54" s="65">
        <f t="shared" si="5"/>
        <v>-6234.0149999999994</v>
      </c>
      <c r="D54" s="67">
        <f t="shared" si="5"/>
        <v>-6265.1850749999985</v>
      </c>
      <c r="E54" s="65">
        <f t="shared" si="5"/>
        <v>-6296.5110003749978</v>
      </c>
      <c r="F54" s="67">
        <f t="shared" ref="F54:G54" si="8">E54*(1+$B$37)</f>
        <v>-6327.9935553768719</v>
      </c>
      <c r="G54" s="67">
        <f t="shared" si="8"/>
        <v>-6359.633523153756</v>
      </c>
    </row>
    <row r="55" spans="1:7" x14ac:dyDescent="0.25">
      <c r="A55" s="62" t="s">
        <v>157</v>
      </c>
      <c r="B55" s="8">
        <v>-6126</v>
      </c>
      <c r="C55" s="65">
        <f t="shared" si="5"/>
        <v>-6156.6299999999992</v>
      </c>
      <c r="D55" s="67">
        <f t="shared" si="5"/>
        <v>-6187.4131499999985</v>
      </c>
      <c r="E55" s="65">
        <f t="shared" si="5"/>
        <v>-6218.3502157499979</v>
      </c>
      <c r="F55" s="67">
        <f t="shared" ref="F55:G55" si="9">E55*(1+$B$37)</f>
        <v>-6249.4419668287474</v>
      </c>
      <c r="G55" s="67">
        <f t="shared" si="9"/>
        <v>-6280.6891766628905</v>
      </c>
    </row>
    <row r="56" spans="1:7" ht="16.5" thickBot="1" x14ac:dyDescent="0.3">
      <c r="A56" s="62" t="s">
        <v>158</v>
      </c>
      <c r="B56" s="8">
        <v>9806</v>
      </c>
      <c r="C56" s="65">
        <f t="shared" si="5"/>
        <v>9855.0299999999988</v>
      </c>
      <c r="D56" s="68">
        <f t="shared" si="5"/>
        <v>9904.3051499999983</v>
      </c>
      <c r="E56" s="65">
        <f t="shared" si="5"/>
        <v>9953.8266757499969</v>
      </c>
      <c r="F56" s="68">
        <f t="shared" ref="F56:G56" si="10">E56*(1+$B$37)</f>
        <v>10003.595809128747</v>
      </c>
      <c r="G56" s="68">
        <f t="shared" si="10"/>
        <v>10053.613788174389</v>
      </c>
    </row>
    <row r="57" spans="1:7" ht="16.5" thickBot="1" x14ac:dyDescent="0.3">
      <c r="A57" s="69" t="s">
        <v>160</v>
      </c>
      <c r="B57" s="11">
        <f>SUM(B50:B56)</f>
        <v>8118</v>
      </c>
      <c r="C57" s="70">
        <f t="shared" ref="C57:G57" si="11">SUM(C50:C56)</f>
        <v>8158.5899999999983</v>
      </c>
      <c r="D57" s="70">
        <f t="shared" si="11"/>
        <v>8199.3829499999993</v>
      </c>
      <c r="E57" s="70">
        <f t="shared" si="11"/>
        <v>8240.3798647499971</v>
      </c>
      <c r="F57" s="70">
        <f t="shared" si="11"/>
        <v>8281.5817640737478</v>
      </c>
      <c r="G57" s="70">
        <f t="shared" si="11"/>
        <v>8322.9896728941148</v>
      </c>
    </row>
    <row r="58" spans="1:7" ht="16.5" thickBot="1" x14ac:dyDescent="0.3">
      <c r="A58" s="63" t="s">
        <v>176</v>
      </c>
      <c r="B58" s="74"/>
      <c r="C58" s="75"/>
      <c r="D58" s="75"/>
      <c r="E58" s="75"/>
      <c r="F58" s="75"/>
      <c r="G58" s="76"/>
    </row>
    <row r="59" spans="1:7" x14ac:dyDescent="0.25">
      <c r="A59" s="48"/>
    </row>
    <row r="60" spans="1:7" x14ac:dyDescent="0.25">
      <c r="A60" s="48"/>
    </row>
    <row r="61" spans="1:7" x14ac:dyDescent="0.25">
      <c r="A61" s="48"/>
    </row>
    <row r="62" spans="1:7" x14ac:dyDescent="0.25">
      <c r="A62" s="48"/>
    </row>
    <row r="63" spans="1:7" x14ac:dyDescent="0.25">
      <c r="A63" s="48"/>
    </row>
    <row r="64" spans="1:7" x14ac:dyDescent="0.25">
      <c r="A64" s="48"/>
    </row>
  </sheetData>
  <mergeCells count="6">
    <mergeCell ref="B58:G58"/>
    <mergeCell ref="A48:G48"/>
    <mergeCell ref="A1:C1"/>
    <mergeCell ref="E1:K1"/>
    <mergeCell ref="M1:O1"/>
    <mergeCell ref="B47:G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A2BFC-1F16-1041-96F6-7232198ADC74}">
  <dimension ref="A1:M35"/>
  <sheetViews>
    <sheetView workbookViewId="0">
      <selection activeCell="A15" sqref="A15"/>
    </sheetView>
  </sheetViews>
  <sheetFormatPr baseColWidth="10" defaultRowHeight="15.75" x14ac:dyDescent="0.25"/>
  <cols>
    <col min="1" max="1" width="44.5" customWidth="1"/>
    <col min="5" max="5" width="30.625" customWidth="1"/>
    <col min="6" max="6" width="12.625" customWidth="1"/>
    <col min="7" max="7" width="14.375" customWidth="1"/>
    <col min="8" max="8" width="18" customWidth="1"/>
    <col min="9" max="9" width="12.5" customWidth="1"/>
    <col min="10" max="10" width="16.375" customWidth="1"/>
    <col min="11" max="11" width="20.5" customWidth="1"/>
    <col min="12" max="12" width="20.625" customWidth="1"/>
    <col min="13" max="13" width="13.375" customWidth="1"/>
  </cols>
  <sheetData>
    <row r="1" spans="1:13" ht="27" thickBot="1" x14ac:dyDescent="0.45">
      <c r="A1" s="77" t="s">
        <v>145</v>
      </c>
      <c r="B1" s="78"/>
      <c r="C1" s="79"/>
      <c r="E1" s="77" t="s">
        <v>144</v>
      </c>
      <c r="F1" s="78"/>
      <c r="G1" s="78"/>
      <c r="H1" s="78"/>
      <c r="I1" s="78"/>
      <c r="J1" s="78"/>
      <c r="K1" s="78"/>
      <c r="L1" s="78"/>
      <c r="M1" s="79"/>
    </row>
    <row r="2" spans="1:13" ht="16.5" thickBot="1" x14ac:dyDescent="0.3">
      <c r="A2" s="10"/>
      <c r="B2" s="11" t="s">
        <v>37</v>
      </c>
      <c r="C2" s="12" t="s">
        <v>38</v>
      </c>
      <c r="E2" s="10"/>
      <c r="F2" s="36" t="s">
        <v>123</v>
      </c>
      <c r="G2" s="29" t="s">
        <v>124</v>
      </c>
      <c r="H2" s="11" t="s">
        <v>125</v>
      </c>
      <c r="I2" s="29" t="s">
        <v>126</v>
      </c>
      <c r="J2" s="11" t="s">
        <v>127</v>
      </c>
      <c r="K2" s="29" t="s">
        <v>147</v>
      </c>
      <c r="L2" s="11" t="s">
        <v>146</v>
      </c>
      <c r="M2" s="37" t="s">
        <v>128</v>
      </c>
    </row>
    <row r="3" spans="1:13" ht="17.100000000000001" customHeight="1" thickBot="1" x14ac:dyDescent="0.3">
      <c r="A3" s="13" t="s">
        <v>111</v>
      </c>
      <c r="B3" s="14">
        <v>11509</v>
      </c>
      <c r="C3" s="15">
        <v>9596</v>
      </c>
      <c r="E3" s="13" t="s">
        <v>129</v>
      </c>
      <c r="F3" s="38">
        <v>282</v>
      </c>
      <c r="G3" s="39">
        <v>-6194</v>
      </c>
      <c r="H3" s="38">
        <v>-22266</v>
      </c>
      <c r="I3" s="39">
        <v>-45</v>
      </c>
      <c r="J3" s="38">
        <v>81363</v>
      </c>
      <c r="K3" s="39">
        <v>53140</v>
      </c>
      <c r="L3" s="38">
        <v>587</v>
      </c>
      <c r="M3" s="40">
        <v>53727</v>
      </c>
    </row>
    <row r="4" spans="1:13" x14ac:dyDescent="0.25">
      <c r="A4" s="3"/>
      <c r="B4" s="8"/>
      <c r="C4" s="4"/>
      <c r="E4" s="3"/>
      <c r="F4" s="31"/>
      <c r="G4" s="30"/>
      <c r="H4" s="31"/>
      <c r="I4" s="30"/>
      <c r="J4" s="31"/>
      <c r="K4" s="30"/>
      <c r="L4" s="31"/>
      <c r="M4" s="34"/>
    </row>
    <row r="5" spans="1:13" x14ac:dyDescent="0.25">
      <c r="A5" s="3" t="s">
        <v>112</v>
      </c>
      <c r="B5" s="8">
        <v>-4154</v>
      </c>
      <c r="C5" s="4">
        <v>-1399</v>
      </c>
      <c r="E5" s="23" t="s">
        <v>55</v>
      </c>
      <c r="F5" s="41" t="s">
        <v>130</v>
      </c>
      <c r="G5" s="42" t="s">
        <v>130</v>
      </c>
      <c r="H5" s="41" t="s">
        <v>130</v>
      </c>
      <c r="I5" s="42" t="s">
        <v>130</v>
      </c>
      <c r="J5" s="41">
        <v>9270</v>
      </c>
      <c r="K5" s="42">
        <v>9270</v>
      </c>
      <c r="L5" s="41">
        <v>326</v>
      </c>
      <c r="M5" s="43">
        <v>9596</v>
      </c>
    </row>
    <row r="6" spans="1:13" ht="16.5" thickBot="1" x14ac:dyDescent="0.3">
      <c r="A6" s="3" t="s">
        <v>113</v>
      </c>
      <c r="B6" s="8">
        <v>194</v>
      </c>
      <c r="C6" s="4">
        <v>214</v>
      </c>
      <c r="E6" s="5" t="s">
        <v>119</v>
      </c>
      <c r="F6" s="33" t="s">
        <v>130</v>
      </c>
      <c r="G6" s="32" t="s">
        <v>130</v>
      </c>
      <c r="H6" s="33">
        <v>-1408</v>
      </c>
      <c r="I6" s="32">
        <v>380</v>
      </c>
      <c r="J6" s="33">
        <v>-122</v>
      </c>
      <c r="K6" s="32">
        <v>-1150</v>
      </c>
      <c r="L6" s="33">
        <v>16</v>
      </c>
      <c r="M6" s="35">
        <v>-1134</v>
      </c>
    </row>
    <row r="7" spans="1:13" ht="16.5" thickBot="1" x14ac:dyDescent="0.3">
      <c r="A7" s="3" t="s">
        <v>114</v>
      </c>
      <c r="B7" s="8">
        <v>-197</v>
      </c>
      <c r="C7" s="4">
        <v>167</v>
      </c>
      <c r="E7" s="13" t="s">
        <v>120</v>
      </c>
      <c r="F7" s="38">
        <v>0</v>
      </c>
      <c r="G7" s="39">
        <v>0</v>
      </c>
      <c r="H7" s="38">
        <v>-1408</v>
      </c>
      <c r="I7" s="39">
        <v>380</v>
      </c>
      <c r="J7" s="38">
        <v>9148</v>
      </c>
      <c r="K7" s="39">
        <v>8120</v>
      </c>
      <c r="L7" s="38">
        <v>342</v>
      </c>
      <c r="M7" s="40">
        <v>8462</v>
      </c>
    </row>
    <row r="8" spans="1:13" ht="16.5" thickBot="1" x14ac:dyDescent="0.3">
      <c r="A8" s="13" t="s">
        <v>115</v>
      </c>
      <c r="B8" s="14">
        <f>SUM(B5:B7)</f>
        <v>-4157</v>
      </c>
      <c r="C8" s="15">
        <f>SUM(C5:C7)</f>
        <v>-1018</v>
      </c>
      <c r="E8" s="3"/>
      <c r="F8" s="31"/>
      <c r="G8" s="30"/>
      <c r="H8" s="31"/>
      <c r="I8" s="30"/>
      <c r="J8" s="31"/>
      <c r="K8" s="30"/>
      <c r="L8" s="31"/>
      <c r="M8" s="34"/>
    </row>
    <row r="9" spans="1:13" x14ac:dyDescent="0.25">
      <c r="A9" s="3"/>
      <c r="B9" s="8"/>
      <c r="C9" s="4"/>
      <c r="E9" s="23" t="s">
        <v>131</v>
      </c>
      <c r="F9" s="41" t="s">
        <v>130</v>
      </c>
      <c r="G9" s="42" t="s">
        <v>130</v>
      </c>
      <c r="H9" s="41" t="s">
        <v>130</v>
      </c>
      <c r="I9" s="42" t="s">
        <v>130</v>
      </c>
      <c r="J9" s="41">
        <v>-7618</v>
      </c>
      <c r="K9" s="42">
        <v>-7618</v>
      </c>
      <c r="L9" s="41">
        <v>-284</v>
      </c>
      <c r="M9" s="43">
        <v>-7902</v>
      </c>
    </row>
    <row r="10" spans="1:13" x14ac:dyDescent="0.25">
      <c r="A10" s="3" t="s">
        <v>116</v>
      </c>
      <c r="B10" s="8">
        <v>-623</v>
      </c>
      <c r="C10" s="4">
        <v>-378</v>
      </c>
      <c r="E10" s="3" t="s">
        <v>132</v>
      </c>
      <c r="F10" s="31" t="s">
        <v>130</v>
      </c>
      <c r="G10" s="30">
        <v>-10653</v>
      </c>
      <c r="H10" s="31" t="s">
        <v>130</v>
      </c>
      <c r="I10" s="30" t="s">
        <v>130</v>
      </c>
      <c r="J10" s="31">
        <v>-93</v>
      </c>
      <c r="K10" s="30">
        <v>-10746</v>
      </c>
      <c r="L10" s="31" t="s">
        <v>130</v>
      </c>
      <c r="M10" s="34">
        <v>-10746</v>
      </c>
    </row>
    <row r="11" spans="1:13" x14ac:dyDescent="0.25">
      <c r="A11" s="3" t="s">
        <v>117</v>
      </c>
      <c r="B11" s="8">
        <v>163</v>
      </c>
      <c r="C11" s="4">
        <v>167</v>
      </c>
      <c r="E11" s="3" t="s">
        <v>133</v>
      </c>
      <c r="F11" s="31" t="s">
        <v>130</v>
      </c>
      <c r="G11" s="30">
        <v>209</v>
      </c>
      <c r="H11" s="31" t="s">
        <v>130</v>
      </c>
      <c r="I11" s="30" t="s">
        <v>130</v>
      </c>
      <c r="J11" s="31">
        <v>-69</v>
      </c>
      <c r="K11" s="30">
        <v>140</v>
      </c>
      <c r="L11" s="31">
        <v>-1</v>
      </c>
      <c r="M11" s="34">
        <v>139</v>
      </c>
    </row>
    <row r="12" spans="1:13" ht="16.5" thickBot="1" x14ac:dyDescent="0.3">
      <c r="A12" s="3" t="s">
        <v>114</v>
      </c>
      <c r="B12" s="8">
        <v>-40</v>
      </c>
      <c r="C12" s="4">
        <v>95</v>
      </c>
      <c r="E12" s="3" t="s">
        <v>134</v>
      </c>
      <c r="F12" s="31" t="s">
        <v>130</v>
      </c>
      <c r="G12" s="30" t="s">
        <v>130</v>
      </c>
      <c r="H12" s="31" t="s">
        <v>130</v>
      </c>
      <c r="I12" s="30" t="s">
        <v>130</v>
      </c>
      <c r="J12" s="31">
        <v>-685</v>
      </c>
      <c r="K12" s="30">
        <v>-685</v>
      </c>
      <c r="L12" s="31">
        <v>168</v>
      </c>
      <c r="M12" s="34">
        <v>-517</v>
      </c>
    </row>
    <row r="13" spans="1:13" ht="16.5" thickBot="1" x14ac:dyDescent="0.3">
      <c r="A13" s="13" t="s">
        <v>118</v>
      </c>
      <c r="B13" s="14">
        <f>SUM(B10:B12)</f>
        <v>-500</v>
      </c>
      <c r="C13" s="15">
        <f>SUM(C10:C12)</f>
        <v>-116</v>
      </c>
      <c r="E13" s="5" t="s">
        <v>135</v>
      </c>
      <c r="F13" s="33">
        <v>-7</v>
      </c>
      <c r="G13" s="32">
        <v>7335</v>
      </c>
      <c r="H13" s="33" t="s">
        <v>130</v>
      </c>
      <c r="I13" s="32" t="s">
        <v>130</v>
      </c>
      <c r="J13" s="33">
        <v>-7328</v>
      </c>
      <c r="K13" s="32">
        <v>0</v>
      </c>
      <c r="L13" s="33" t="s">
        <v>130</v>
      </c>
      <c r="M13" s="35">
        <v>0</v>
      </c>
    </row>
    <row r="14" spans="1:13" ht="16.5" thickBot="1" x14ac:dyDescent="0.3">
      <c r="A14" s="3"/>
      <c r="B14" s="8"/>
      <c r="C14" s="4"/>
      <c r="E14" s="13" t="s">
        <v>136</v>
      </c>
      <c r="F14" s="38">
        <v>-7</v>
      </c>
      <c r="G14" s="39">
        <v>-3109</v>
      </c>
      <c r="H14" s="38">
        <v>0</v>
      </c>
      <c r="I14" s="39">
        <v>0</v>
      </c>
      <c r="J14" s="38">
        <v>-15793</v>
      </c>
      <c r="K14" s="39">
        <v>-18909</v>
      </c>
      <c r="L14" s="38">
        <v>-117</v>
      </c>
      <c r="M14" s="38">
        <v>-19026</v>
      </c>
    </row>
    <row r="15" spans="1:13" ht="16.5" thickBot="1" x14ac:dyDescent="0.3">
      <c r="A15" s="13" t="s">
        <v>119</v>
      </c>
      <c r="B15" s="14">
        <v>-4657</v>
      </c>
      <c r="C15" s="15">
        <v>-1134</v>
      </c>
      <c r="E15" s="3"/>
      <c r="F15" s="31"/>
      <c r="G15" s="30"/>
      <c r="H15" s="31"/>
      <c r="I15" s="30"/>
      <c r="J15" s="31"/>
      <c r="K15" s="30"/>
      <c r="L15" s="31"/>
      <c r="M15" s="31"/>
    </row>
    <row r="16" spans="1:13" ht="16.5" thickBot="1" x14ac:dyDescent="0.3">
      <c r="A16" s="3"/>
      <c r="B16" s="8"/>
      <c r="C16" s="4"/>
      <c r="E16" s="44" t="s">
        <v>137</v>
      </c>
      <c r="F16" s="45" t="s">
        <v>130</v>
      </c>
      <c r="G16" s="46" t="s">
        <v>130</v>
      </c>
      <c r="H16" s="45">
        <v>115</v>
      </c>
      <c r="I16" s="46">
        <v>-398</v>
      </c>
      <c r="J16" s="45">
        <v>-86</v>
      </c>
      <c r="K16" s="46">
        <v>-369</v>
      </c>
      <c r="L16" s="45">
        <v>-2</v>
      </c>
      <c r="M16" s="45">
        <v>-371</v>
      </c>
    </row>
    <row r="17" spans="1:13" ht="16.5" thickBot="1" x14ac:dyDescent="0.3">
      <c r="A17" s="13" t="s">
        <v>120</v>
      </c>
      <c r="B17" s="14">
        <v>6852</v>
      </c>
      <c r="C17" s="15">
        <v>8462</v>
      </c>
      <c r="E17" s="3"/>
      <c r="F17" s="31"/>
      <c r="G17" s="30"/>
      <c r="H17" s="31"/>
      <c r="I17" s="30"/>
      <c r="J17" s="31"/>
      <c r="K17" s="30"/>
      <c r="L17" s="31"/>
      <c r="M17" s="31"/>
    </row>
    <row r="18" spans="1:13" ht="16.5" thickBot="1" x14ac:dyDescent="0.3">
      <c r="A18" s="3" t="s">
        <v>121</v>
      </c>
      <c r="B18" s="8">
        <v>175</v>
      </c>
      <c r="C18" s="4">
        <v>342</v>
      </c>
      <c r="E18" s="13" t="s">
        <v>138</v>
      </c>
      <c r="F18" s="38">
        <v>275</v>
      </c>
      <c r="G18" s="39">
        <v>-9303</v>
      </c>
      <c r="H18" s="38">
        <v>-23559</v>
      </c>
      <c r="I18" s="39">
        <v>-63</v>
      </c>
      <c r="J18" s="38">
        <v>74632</v>
      </c>
      <c r="K18" s="39">
        <v>41982</v>
      </c>
      <c r="L18" s="38">
        <v>810</v>
      </c>
      <c r="M18" s="38">
        <v>42792</v>
      </c>
    </row>
    <row r="19" spans="1:13" ht="16.5" thickBot="1" x14ac:dyDescent="0.3">
      <c r="A19" s="5" t="s">
        <v>122</v>
      </c>
      <c r="B19" s="9">
        <f>B17-B18</f>
        <v>6677</v>
      </c>
      <c r="C19" s="6">
        <v>8120</v>
      </c>
      <c r="E19" s="3"/>
      <c r="F19" s="31"/>
      <c r="G19" s="30"/>
      <c r="H19" s="31"/>
      <c r="I19" s="30"/>
      <c r="J19" s="31"/>
      <c r="K19" s="30"/>
      <c r="L19" s="31"/>
      <c r="M19" s="31"/>
    </row>
    <row r="20" spans="1:13" ht="16.5" thickBot="1" x14ac:dyDescent="0.3">
      <c r="E20" s="13" t="s">
        <v>139</v>
      </c>
      <c r="F20" s="38">
        <v>275</v>
      </c>
      <c r="G20" s="39">
        <v>-9303</v>
      </c>
      <c r="H20" s="38">
        <v>-23559</v>
      </c>
      <c r="I20" s="39">
        <v>-63</v>
      </c>
      <c r="J20" s="38">
        <v>74632</v>
      </c>
      <c r="K20" s="39">
        <v>41982</v>
      </c>
      <c r="L20" s="38">
        <v>810</v>
      </c>
      <c r="M20" s="38">
        <v>42792</v>
      </c>
    </row>
    <row r="21" spans="1:13" x14ac:dyDescent="0.25">
      <c r="E21" s="3"/>
      <c r="F21" s="31"/>
      <c r="G21" s="30"/>
      <c r="H21" s="31"/>
      <c r="I21" s="30"/>
      <c r="J21" s="31"/>
      <c r="K21" s="30"/>
      <c r="L21" s="31"/>
      <c r="M21" s="31"/>
    </row>
    <row r="22" spans="1:13" x14ac:dyDescent="0.25">
      <c r="E22" s="23" t="s">
        <v>55</v>
      </c>
      <c r="F22" s="41" t="s">
        <v>130</v>
      </c>
      <c r="G22" s="42" t="s">
        <v>130</v>
      </c>
      <c r="H22" s="41" t="s">
        <v>130</v>
      </c>
      <c r="I22" s="42" t="s">
        <v>130</v>
      </c>
      <c r="J22" s="41">
        <v>11209</v>
      </c>
      <c r="K22" s="42">
        <v>11209</v>
      </c>
      <c r="L22" s="41">
        <v>300</v>
      </c>
      <c r="M22" s="41">
        <v>11509</v>
      </c>
    </row>
    <row r="23" spans="1:13" ht="16.5" thickBot="1" x14ac:dyDescent="0.3">
      <c r="E23" s="5" t="s">
        <v>119</v>
      </c>
      <c r="F23" s="33" t="s">
        <v>130</v>
      </c>
      <c r="G23" s="32" t="s">
        <v>130</v>
      </c>
      <c r="H23" s="33">
        <v>-4022</v>
      </c>
      <c r="I23" s="32">
        <v>-11</v>
      </c>
      <c r="J23" s="33">
        <v>-499</v>
      </c>
      <c r="K23" s="32">
        <v>-4532</v>
      </c>
      <c r="L23" s="33">
        <v>-125</v>
      </c>
      <c r="M23" s="33">
        <v>-4657</v>
      </c>
    </row>
    <row r="24" spans="1:13" ht="16.5" thickBot="1" x14ac:dyDescent="0.3">
      <c r="E24" s="13" t="s">
        <v>120</v>
      </c>
      <c r="F24" s="38">
        <v>0</v>
      </c>
      <c r="G24" s="39">
        <v>0</v>
      </c>
      <c r="H24" s="38">
        <v>-4022</v>
      </c>
      <c r="I24" s="39">
        <v>-11</v>
      </c>
      <c r="J24" s="38">
        <v>10710</v>
      </c>
      <c r="K24" s="39">
        <v>6677</v>
      </c>
      <c r="L24" s="38">
        <v>175</v>
      </c>
      <c r="M24" s="38">
        <v>6852</v>
      </c>
    </row>
    <row r="25" spans="1:13" x14ac:dyDescent="0.25">
      <c r="E25" s="3"/>
      <c r="F25" s="31"/>
      <c r="G25" s="30"/>
      <c r="H25" s="31"/>
      <c r="I25" s="30"/>
      <c r="J25" s="31"/>
      <c r="K25" s="30"/>
      <c r="L25" s="31"/>
      <c r="M25" s="31"/>
    </row>
    <row r="26" spans="1:13" x14ac:dyDescent="0.25">
      <c r="E26" s="23" t="s">
        <v>131</v>
      </c>
      <c r="F26" s="41" t="s">
        <v>130</v>
      </c>
      <c r="G26" s="42" t="s">
        <v>130</v>
      </c>
      <c r="H26" s="41" t="s">
        <v>130</v>
      </c>
      <c r="I26" s="42" t="s">
        <v>130</v>
      </c>
      <c r="J26" s="41">
        <v>-7829</v>
      </c>
      <c r="K26" s="42">
        <v>-7829</v>
      </c>
      <c r="L26" s="41">
        <v>-323</v>
      </c>
      <c r="M26" s="41">
        <v>-8152</v>
      </c>
    </row>
    <row r="27" spans="1:13" x14ac:dyDescent="0.25">
      <c r="E27" s="3" t="s">
        <v>132</v>
      </c>
      <c r="F27" s="31" t="s">
        <v>130</v>
      </c>
      <c r="G27" s="30">
        <v>-5142</v>
      </c>
      <c r="H27" s="31" t="s">
        <v>130</v>
      </c>
      <c r="I27" s="30" t="s">
        <v>130</v>
      </c>
      <c r="J27" s="31">
        <v>6</v>
      </c>
      <c r="K27" s="30">
        <v>-5136</v>
      </c>
      <c r="L27" s="31" t="s">
        <v>130</v>
      </c>
      <c r="M27" s="31">
        <v>-5136</v>
      </c>
    </row>
    <row r="28" spans="1:13" x14ac:dyDescent="0.25">
      <c r="E28" s="3" t="s">
        <v>133</v>
      </c>
      <c r="F28" s="31" t="s">
        <v>130</v>
      </c>
      <c r="G28" s="30">
        <v>154</v>
      </c>
      <c r="H28" s="31" t="s">
        <v>130</v>
      </c>
      <c r="I28" s="30" t="s">
        <v>130</v>
      </c>
      <c r="J28" s="31">
        <v>-2</v>
      </c>
      <c r="K28" s="30">
        <v>152</v>
      </c>
      <c r="L28" s="31" t="s">
        <v>130</v>
      </c>
      <c r="M28" s="31">
        <v>152</v>
      </c>
    </row>
    <row r="29" spans="1:13" x14ac:dyDescent="0.25">
      <c r="E29" s="3" t="s">
        <v>134</v>
      </c>
      <c r="F29" s="31" t="s">
        <v>130</v>
      </c>
      <c r="G29" s="30" t="s">
        <v>130</v>
      </c>
      <c r="H29" s="31" t="s">
        <v>130</v>
      </c>
      <c r="I29" s="30" t="s">
        <v>130</v>
      </c>
      <c r="J29" s="31">
        <v>-55</v>
      </c>
      <c r="K29" s="30">
        <v>-55</v>
      </c>
      <c r="L29" s="31">
        <v>-15</v>
      </c>
      <c r="M29" s="31">
        <v>-70</v>
      </c>
    </row>
    <row r="30" spans="1:13" ht="16.5" thickBot="1" x14ac:dyDescent="0.3">
      <c r="E30" s="5" t="s">
        <v>135</v>
      </c>
      <c r="F30" s="33">
        <v>-8</v>
      </c>
      <c r="G30" s="32">
        <v>9136</v>
      </c>
      <c r="H30" s="33" t="s">
        <v>130</v>
      </c>
      <c r="I30" s="32" t="s">
        <v>130</v>
      </c>
      <c r="J30" s="33">
        <v>-9128</v>
      </c>
      <c r="K30" s="32">
        <v>0</v>
      </c>
      <c r="L30" s="33" t="s">
        <v>130</v>
      </c>
      <c r="M30" s="33">
        <v>0</v>
      </c>
    </row>
    <row r="31" spans="1:13" ht="16.5" thickBot="1" x14ac:dyDescent="0.3">
      <c r="E31" s="13" t="s">
        <v>136</v>
      </c>
      <c r="F31" s="38">
        <v>-8</v>
      </c>
      <c r="G31" s="39">
        <v>4148</v>
      </c>
      <c r="H31" s="38">
        <v>0</v>
      </c>
      <c r="I31" s="39">
        <v>0</v>
      </c>
      <c r="J31" s="38">
        <v>-17008</v>
      </c>
      <c r="K31" s="39">
        <v>-12868</v>
      </c>
      <c r="L31" s="38">
        <v>-338</v>
      </c>
      <c r="M31" s="38">
        <v>-13206</v>
      </c>
    </row>
    <row r="32" spans="1:13" x14ac:dyDescent="0.25">
      <c r="E32" s="3"/>
      <c r="F32" s="31"/>
      <c r="G32" s="30"/>
      <c r="H32" s="31"/>
      <c r="I32" s="30"/>
      <c r="J32" s="31"/>
      <c r="K32" s="30"/>
      <c r="L32" s="31"/>
      <c r="M32" s="31"/>
    </row>
    <row r="33" spans="5:13" x14ac:dyDescent="0.25">
      <c r="E33" s="47" t="s">
        <v>137</v>
      </c>
      <c r="F33" s="45" t="s">
        <v>130</v>
      </c>
      <c r="G33" s="46" t="s">
        <v>130</v>
      </c>
      <c r="H33" s="45" t="s">
        <v>130</v>
      </c>
      <c r="I33" s="46">
        <v>24</v>
      </c>
      <c r="J33" s="45">
        <v>-73</v>
      </c>
      <c r="K33" s="46">
        <v>-49</v>
      </c>
      <c r="L33" s="45">
        <v>-2</v>
      </c>
      <c r="M33" s="45">
        <v>-51</v>
      </c>
    </row>
    <row r="34" spans="5:13" ht="16.5" thickBot="1" x14ac:dyDescent="0.3">
      <c r="E34" s="3"/>
      <c r="F34" s="31"/>
      <c r="G34" s="30"/>
      <c r="H34" s="31"/>
      <c r="I34" s="30"/>
      <c r="J34" s="31"/>
      <c r="K34" s="30"/>
      <c r="L34" s="31"/>
      <c r="M34" s="33"/>
    </row>
    <row r="35" spans="5:13" ht="16.5" thickBot="1" x14ac:dyDescent="0.3">
      <c r="E35" s="13" t="s">
        <v>140</v>
      </c>
      <c r="F35" s="38">
        <v>267</v>
      </c>
      <c r="G35" s="39">
        <v>-5155</v>
      </c>
      <c r="H35" s="38">
        <v>-27581</v>
      </c>
      <c r="I35" s="39">
        <v>-50</v>
      </c>
      <c r="J35" s="38">
        <v>68261</v>
      </c>
      <c r="K35" s="39">
        <v>35742</v>
      </c>
      <c r="L35" s="38">
        <v>645</v>
      </c>
      <c r="M35" s="40">
        <v>36387</v>
      </c>
    </row>
  </sheetData>
  <mergeCells count="2">
    <mergeCell ref="A1:C1"/>
    <mergeCell ref="E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1C0C0-4994-BE46-9ED7-1FBE35EA0E37}">
  <dimension ref="A1:K37"/>
  <sheetViews>
    <sheetView topLeftCell="A25" workbookViewId="0">
      <selection activeCell="E37" sqref="E37"/>
    </sheetView>
  </sheetViews>
  <sheetFormatPr baseColWidth="10" defaultRowHeight="15.75" x14ac:dyDescent="0.25"/>
  <cols>
    <col min="1" max="1" width="16.5" customWidth="1"/>
  </cols>
  <sheetData>
    <row r="1" spans="1:11" ht="27" thickBot="1" x14ac:dyDescent="0.45">
      <c r="A1" s="71" t="s">
        <v>141</v>
      </c>
      <c r="B1" s="72"/>
      <c r="C1" s="73"/>
    </row>
    <row r="2" spans="1:11" ht="16.5" thickBot="1" x14ac:dyDescent="0.3">
      <c r="A2" s="1"/>
      <c r="B2" s="7" t="s">
        <v>37</v>
      </c>
      <c r="C2" s="2" t="s">
        <v>38</v>
      </c>
      <c r="D2" s="7" t="s">
        <v>166</v>
      </c>
      <c r="E2" s="2" t="s">
        <v>167</v>
      </c>
      <c r="F2" s="7" t="s">
        <v>168</v>
      </c>
      <c r="G2" s="2" t="s">
        <v>169</v>
      </c>
      <c r="H2" s="7" t="s">
        <v>170</v>
      </c>
      <c r="I2" s="2" t="s">
        <v>171</v>
      </c>
      <c r="J2" s="7" t="s">
        <v>172</v>
      </c>
      <c r="K2" s="2" t="s">
        <v>173</v>
      </c>
    </row>
    <row r="3" spans="1:11" ht="16.5" thickBot="1" x14ac:dyDescent="0.3">
      <c r="A3" s="26" t="s">
        <v>39</v>
      </c>
      <c r="B3" s="27">
        <v>92998</v>
      </c>
      <c r="C3" s="28">
        <v>94424</v>
      </c>
      <c r="D3" s="26">
        <v>87088</v>
      </c>
      <c r="E3" s="27">
        <v>84343</v>
      </c>
      <c r="F3" s="49">
        <v>92568</v>
      </c>
      <c r="G3" s="27">
        <v>91439</v>
      </c>
      <c r="H3" s="49">
        <v>89791</v>
      </c>
      <c r="I3" s="27">
        <v>89469</v>
      </c>
      <c r="J3" s="49">
        <v>89791</v>
      </c>
      <c r="K3" s="27">
        <v>89469</v>
      </c>
    </row>
    <row r="4" spans="1:11" x14ac:dyDescent="0.25">
      <c r="A4" s="3"/>
      <c r="B4" s="8"/>
      <c r="C4" s="4"/>
      <c r="D4" s="1"/>
      <c r="E4" s="7"/>
      <c r="F4" s="55"/>
      <c r="G4" s="7"/>
      <c r="H4" s="55"/>
      <c r="I4" s="7"/>
      <c r="J4" s="55"/>
      <c r="K4" s="7"/>
    </row>
    <row r="5" spans="1:11" x14ac:dyDescent="0.25">
      <c r="A5" s="3" t="s">
        <v>40</v>
      </c>
      <c r="B5" s="8">
        <v>353</v>
      </c>
      <c r="C5" s="4">
        <v>356</v>
      </c>
      <c r="D5" s="3">
        <v>382</v>
      </c>
      <c r="E5" s="8">
        <v>338</v>
      </c>
      <c r="F5">
        <v>297</v>
      </c>
      <c r="G5" s="8">
        <v>311</v>
      </c>
      <c r="H5">
        <v>330</v>
      </c>
      <c r="I5" s="8">
        <v>317</v>
      </c>
      <c r="J5">
        <v>330</v>
      </c>
      <c r="K5" s="8">
        <v>317</v>
      </c>
    </row>
    <row r="6" spans="1:11" x14ac:dyDescent="0.25">
      <c r="A6" s="3" t="s">
        <v>41</v>
      </c>
      <c r="B6" s="8">
        <v>-50328</v>
      </c>
      <c r="C6" s="4">
        <v>-51745</v>
      </c>
      <c r="D6" s="3">
        <v>-45468</v>
      </c>
      <c r="E6" s="8">
        <v>-42971</v>
      </c>
      <c r="F6">
        <v>-46647</v>
      </c>
      <c r="G6" s="8">
        <v>-46070</v>
      </c>
      <c r="H6">
        <v>-44923</v>
      </c>
      <c r="I6" s="8">
        <v>-44199</v>
      </c>
      <c r="J6">
        <v>-44923</v>
      </c>
      <c r="K6" s="8">
        <v>-44199</v>
      </c>
    </row>
    <row r="7" spans="1:11" x14ac:dyDescent="0.25">
      <c r="A7" s="3" t="s">
        <v>42</v>
      </c>
      <c r="B7" s="8">
        <v>-7765</v>
      </c>
      <c r="C7" s="4">
        <v>-8386</v>
      </c>
      <c r="D7" s="3">
        <v>-7919</v>
      </c>
      <c r="E7" s="8">
        <v>-7861</v>
      </c>
      <c r="F7">
        <v>-8496</v>
      </c>
      <c r="G7" s="8">
        <v>-8469</v>
      </c>
      <c r="H7">
        <v>-8205</v>
      </c>
      <c r="I7" s="8">
        <v>-8059</v>
      </c>
      <c r="J7">
        <v>-8205</v>
      </c>
      <c r="K7" s="8">
        <v>-8059</v>
      </c>
    </row>
    <row r="8" spans="1:11" x14ac:dyDescent="0.25">
      <c r="A8" s="3" t="s">
        <v>43</v>
      </c>
      <c r="B8" s="8">
        <v>-17549</v>
      </c>
      <c r="C8" s="4">
        <v>-16850</v>
      </c>
      <c r="D8" s="3">
        <v>-17294</v>
      </c>
      <c r="E8" s="8">
        <v>-17370</v>
      </c>
      <c r="F8">
        <v>-19790</v>
      </c>
      <c r="G8" s="8">
        <v>-20003</v>
      </c>
      <c r="H8">
        <v>-20540</v>
      </c>
      <c r="I8" s="8">
        <v>-21485</v>
      </c>
      <c r="J8">
        <v>-20540</v>
      </c>
      <c r="K8" s="8">
        <v>-21485</v>
      </c>
    </row>
    <row r="9" spans="1:11" x14ac:dyDescent="0.25">
      <c r="A9" s="3" t="s">
        <v>44</v>
      </c>
      <c r="B9" s="8">
        <v>-1656</v>
      </c>
      <c r="C9" s="4">
        <v>-1696</v>
      </c>
      <c r="D9" s="3">
        <v>-1670</v>
      </c>
      <c r="E9" s="8">
        <v>-1576</v>
      </c>
      <c r="F9">
        <v>-1672</v>
      </c>
      <c r="G9" s="8">
        <v>-1687</v>
      </c>
      <c r="H9">
        <v>-1724</v>
      </c>
      <c r="I9" s="8">
        <v>-1736</v>
      </c>
      <c r="J9">
        <v>-1724</v>
      </c>
      <c r="K9" s="8">
        <v>-1736</v>
      </c>
    </row>
    <row r="10" spans="1:11" x14ac:dyDescent="0.25">
      <c r="A10" s="3" t="s">
        <v>45</v>
      </c>
      <c r="B10" s="8">
        <v>132</v>
      </c>
      <c r="C10" s="4">
        <v>107</v>
      </c>
      <c r="D10" s="3">
        <v>171</v>
      </c>
      <c r="E10" s="8">
        <v>238</v>
      </c>
      <c r="F10">
        <v>163</v>
      </c>
      <c r="G10" s="8">
        <v>37</v>
      </c>
      <c r="H10">
        <v>111</v>
      </c>
      <c r="I10" s="8">
        <v>99</v>
      </c>
      <c r="J10">
        <v>111</v>
      </c>
      <c r="K10" s="8">
        <v>99</v>
      </c>
    </row>
    <row r="11" spans="1:11" ht="16.5" thickBot="1" x14ac:dyDescent="0.3">
      <c r="A11" s="3" t="s">
        <v>46</v>
      </c>
      <c r="B11" s="8">
        <v>-1665</v>
      </c>
      <c r="C11" s="4">
        <v>-3015</v>
      </c>
      <c r="D11" s="3">
        <v>-3131</v>
      </c>
      <c r="E11" s="8">
        <v>-908</v>
      </c>
      <c r="F11">
        <v>-2749</v>
      </c>
      <c r="G11" s="8">
        <v>-1769</v>
      </c>
      <c r="H11">
        <v>-1607</v>
      </c>
      <c r="I11" s="8">
        <v>-713</v>
      </c>
      <c r="J11">
        <v>-1607</v>
      </c>
      <c r="K11" s="8">
        <v>-713</v>
      </c>
    </row>
    <row r="12" spans="1:11" ht="16.5" thickBot="1" x14ac:dyDescent="0.3">
      <c r="A12" s="26" t="s">
        <v>47</v>
      </c>
      <c r="B12" s="27">
        <f>B3+SUM(B5:B11)</f>
        <v>14520</v>
      </c>
      <c r="C12" s="27">
        <f>C3+SUM(C5:C11)</f>
        <v>13195</v>
      </c>
      <c r="D12" s="26">
        <v>12159</v>
      </c>
      <c r="E12" s="27">
        <v>14233</v>
      </c>
      <c r="F12" s="49">
        <v>13674</v>
      </c>
      <c r="G12" s="27">
        <v>13789</v>
      </c>
      <c r="H12" s="49">
        <v>13233</v>
      </c>
      <c r="I12" s="27">
        <v>13693</v>
      </c>
      <c r="J12" s="49">
        <v>13233</v>
      </c>
      <c r="K12" s="27">
        <v>13693</v>
      </c>
    </row>
    <row r="13" spans="1:11" x14ac:dyDescent="0.25">
      <c r="A13" s="3"/>
      <c r="B13" s="8"/>
      <c r="C13" s="4"/>
      <c r="D13" s="3"/>
      <c r="E13" s="8"/>
      <c r="G13" s="8"/>
      <c r="I13" s="8"/>
      <c r="K13" s="8"/>
    </row>
    <row r="14" spans="1:11" x14ac:dyDescent="0.25">
      <c r="A14" s="3" t="s">
        <v>48</v>
      </c>
      <c r="B14" s="8">
        <v>298</v>
      </c>
      <c r="C14" s="4">
        <v>340</v>
      </c>
      <c r="D14" s="3">
        <v>698</v>
      </c>
      <c r="E14" s="8">
        <v>1919</v>
      </c>
      <c r="F14">
        <v>3717</v>
      </c>
      <c r="G14" s="8">
        <v>2535</v>
      </c>
      <c r="H14">
        <v>379</v>
      </c>
      <c r="I14" s="8">
        <v>354</v>
      </c>
      <c r="J14">
        <v>379</v>
      </c>
      <c r="K14" s="8">
        <v>354</v>
      </c>
    </row>
    <row r="15" spans="1:11" ht="16.5" thickBot="1" x14ac:dyDescent="0.3">
      <c r="A15" s="3" t="s">
        <v>49</v>
      </c>
      <c r="B15" s="8">
        <v>-755</v>
      </c>
      <c r="C15" s="4">
        <v>-1209</v>
      </c>
      <c r="D15" s="3">
        <v>-1178</v>
      </c>
      <c r="E15" s="8">
        <v>-1356</v>
      </c>
      <c r="F15">
        <v>-1313</v>
      </c>
      <c r="G15" s="8">
        <v>-2572</v>
      </c>
      <c r="H15">
        <v>-3500</v>
      </c>
      <c r="I15" s="8">
        <v>-884</v>
      </c>
      <c r="J15">
        <v>-3500</v>
      </c>
      <c r="K15" s="8">
        <v>-884</v>
      </c>
    </row>
    <row r="16" spans="1:11" ht="16.5" thickBot="1" x14ac:dyDescent="0.3">
      <c r="A16" s="26" t="s">
        <v>1</v>
      </c>
      <c r="B16" s="27">
        <f>B12+B14+B15</f>
        <v>14063</v>
      </c>
      <c r="C16" s="27">
        <f>C12+C14+C15</f>
        <v>12326</v>
      </c>
      <c r="D16" s="26">
        <v>11679</v>
      </c>
      <c r="E16" s="27">
        <v>14796</v>
      </c>
      <c r="F16" s="49">
        <v>16078</v>
      </c>
      <c r="G16" s="27">
        <v>13752</v>
      </c>
      <c r="H16" s="49">
        <v>10112</v>
      </c>
      <c r="I16" s="27">
        <v>13163</v>
      </c>
      <c r="J16" s="49">
        <v>10112</v>
      </c>
      <c r="K16" s="27">
        <v>13163</v>
      </c>
    </row>
    <row r="17" spans="1:11" x14ac:dyDescent="0.25">
      <c r="A17" s="3"/>
      <c r="B17" s="8"/>
      <c r="C17" s="4"/>
      <c r="D17" s="3"/>
      <c r="E17" s="8"/>
      <c r="G17" s="8"/>
      <c r="I17" s="8"/>
      <c r="K17" s="8"/>
    </row>
    <row r="18" spans="1:11" x14ac:dyDescent="0.25">
      <c r="A18" s="3" t="s">
        <v>50</v>
      </c>
      <c r="B18" s="8">
        <v>284</v>
      </c>
      <c r="C18" s="4">
        <v>210</v>
      </c>
      <c r="D18" s="3">
        <v>80</v>
      </c>
      <c r="E18" s="8">
        <v>109</v>
      </c>
      <c r="F18">
        <v>200</v>
      </c>
      <c r="G18" s="8">
        <v>247</v>
      </c>
      <c r="H18">
        <v>152</v>
      </c>
      <c r="I18" s="8">
        <v>121</v>
      </c>
      <c r="J18">
        <v>152</v>
      </c>
      <c r="K18" s="8">
        <v>121</v>
      </c>
    </row>
    <row r="19" spans="1:11" ht="16.5" thickBot="1" x14ac:dyDescent="0.3">
      <c r="A19" s="3" t="s">
        <v>51</v>
      </c>
      <c r="B19" s="8">
        <v>-1644</v>
      </c>
      <c r="C19" s="4">
        <v>-1250</v>
      </c>
      <c r="D19" s="3">
        <v>-953</v>
      </c>
      <c r="E19" s="8">
        <v>-983</v>
      </c>
      <c r="F19">
        <v>-1216</v>
      </c>
      <c r="G19" s="8">
        <v>-1008</v>
      </c>
      <c r="H19">
        <v>-771</v>
      </c>
      <c r="I19" s="8">
        <v>-758</v>
      </c>
      <c r="J19">
        <v>-771</v>
      </c>
      <c r="K19" s="8">
        <v>-758</v>
      </c>
    </row>
    <row r="20" spans="1:11" ht="16.5" thickBot="1" x14ac:dyDescent="0.3">
      <c r="A20" s="26" t="s">
        <v>52</v>
      </c>
      <c r="B20" s="27">
        <f>B16+B18+B19</f>
        <v>12703</v>
      </c>
      <c r="C20" s="27">
        <f>C16+C18+C19</f>
        <v>11286</v>
      </c>
      <c r="D20" s="50">
        <v>10806</v>
      </c>
      <c r="E20" s="57">
        <v>13922</v>
      </c>
      <c r="F20" s="51">
        <v>15062</v>
      </c>
      <c r="G20" s="57">
        <v>12991</v>
      </c>
      <c r="H20" s="51">
        <v>9493</v>
      </c>
      <c r="I20" s="57">
        <v>12526</v>
      </c>
      <c r="J20" s="51">
        <v>9493</v>
      </c>
      <c r="K20" s="57">
        <v>12526</v>
      </c>
    </row>
    <row r="21" spans="1:11" x14ac:dyDescent="0.25">
      <c r="A21" s="3"/>
      <c r="B21" s="8"/>
      <c r="C21" s="4"/>
      <c r="D21" s="3"/>
      <c r="E21" s="8"/>
      <c r="G21" s="8"/>
      <c r="I21" s="8"/>
      <c r="K21" s="8"/>
    </row>
    <row r="22" spans="1:11" x14ac:dyDescent="0.25">
      <c r="A22" s="3" t="s">
        <v>53</v>
      </c>
      <c r="B22" s="8">
        <v>-2314</v>
      </c>
      <c r="C22" s="4">
        <v>-2730</v>
      </c>
      <c r="D22" s="3">
        <v>-2261</v>
      </c>
      <c r="E22" s="8">
        <v>-3365</v>
      </c>
      <c r="F22">
        <v>-3159</v>
      </c>
      <c r="G22" s="8">
        <v>-3439</v>
      </c>
      <c r="H22">
        <v>-2779</v>
      </c>
      <c r="I22" s="8">
        <v>-4413</v>
      </c>
      <c r="J22">
        <v>-2779</v>
      </c>
      <c r="K22" s="8">
        <v>-4413</v>
      </c>
    </row>
    <row r="23" spans="1:11" ht="16.5" thickBot="1" x14ac:dyDescent="0.3">
      <c r="A23" s="3" t="s">
        <v>54</v>
      </c>
      <c r="B23" s="8">
        <v>1120</v>
      </c>
      <c r="C23" s="4">
        <v>1040</v>
      </c>
      <c r="D23" s="3">
        <v>8651</v>
      </c>
      <c r="E23" s="8">
        <v>1815</v>
      </c>
      <c r="F23">
        <v>1001</v>
      </c>
      <c r="G23" s="8">
        <v>916</v>
      </c>
      <c r="H23">
        <v>824</v>
      </c>
      <c r="I23" s="8">
        <v>770</v>
      </c>
      <c r="J23">
        <v>824</v>
      </c>
      <c r="K23" s="8">
        <v>770</v>
      </c>
    </row>
    <row r="24" spans="1:11" ht="16.5" thickBot="1" x14ac:dyDescent="0.3">
      <c r="A24" s="26" t="s">
        <v>55</v>
      </c>
      <c r="B24" s="27">
        <f>B20+B22+B23</f>
        <v>11509</v>
      </c>
      <c r="C24" s="27">
        <f>C20+C22+C23</f>
        <v>9596</v>
      </c>
      <c r="D24" s="26">
        <v>17196</v>
      </c>
      <c r="E24" s="27">
        <v>12372</v>
      </c>
      <c r="F24" s="49">
        <v>12904</v>
      </c>
      <c r="G24" s="27">
        <v>10468</v>
      </c>
      <c r="H24" s="49">
        <v>7538</v>
      </c>
      <c r="I24" s="27">
        <v>8883</v>
      </c>
      <c r="J24" s="49">
        <v>7538</v>
      </c>
      <c r="K24" s="27">
        <v>8883</v>
      </c>
    </row>
    <row r="25" spans="1:11" x14ac:dyDescent="0.25">
      <c r="A25" s="3" t="s">
        <v>56</v>
      </c>
      <c r="B25" s="8">
        <v>300</v>
      </c>
      <c r="C25" s="4">
        <v>326</v>
      </c>
      <c r="D25" s="3">
        <v>291</v>
      </c>
      <c r="E25" s="8">
        <v>140</v>
      </c>
      <c r="F25">
        <v>295</v>
      </c>
      <c r="G25" s="8">
        <v>333</v>
      </c>
      <c r="H25">
        <v>355</v>
      </c>
      <c r="I25" s="8">
        <v>352</v>
      </c>
      <c r="J25">
        <v>355</v>
      </c>
      <c r="K25" s="8">
        <v>352</v>
      </c>
    </row>
    <row r="26" spans="1:11" x14ac:dyDescent="0.25">
      <c r="A26" s="3" t="s">
        <v>57</v>
      </c>
      <c r="B26" s="8">
        <v>11209</v>
      </c>
      <c r="C26" s="4">
        <v>9270</v>
      </c>
      <c r="D26" s="3">
        <v>16905</v>
      </c>
      <c r="E26" s="8">
        <v>12232</v>
      </c>
      <c r="F26">
        <v>12609</v>
      </c>
      <c r="G26" s="8">
        <v>10135</v>
      </c>
      <c r="H26">
        <v>7183</v>
      </c>
      <c r="I26" s="8">
        <v>8531</v>
      </c>
      <c r="J26">
        <v>7183</v>
      </c>
      <c r="K26" s="8">
        <v>8531</v>
      </c>
    </row>
    <row r="27" spans="1:11" x14ac:dyDescent="0.25">
      <c r="A27" s="3"/>
      <c r="B27" s="8"/>
      <c r="C27" s="4"/>
      <c r="D27" s="3"/>
      <c r="E27" s="8"/>
      <c r="G27" s="8"/>
      <c r="I27" s="8"/>
      <c r="K27" s="8"/>
    </row>
    <row r="28" spans="1:11" x14ac:dyDescent="0.25">
      <c r="A28" s="18" t="s">
        <v>58</v>
      </c>
      <c r="B28" s="19"/>
      <c r="C28" s="24"/>
      <c r="D28" s="23"/>
      <c r="E28" s="19"/>
      <c r="F28" s="54"/>
      <c r="G28" s="19"/>
      <c r="H28" s="54"/>
      <c r="I28" s="19"/>
      <c r="J28" s="54"/>
      <c r="K28" s="19"/>
    </row>
    <row r="29" spans="1:11" x14ac:dyDescent="0.25">
      <c r="A29" s="20" t="s">
        <v>47</v>
      </c>
      <c r="B29" s="16">
        <v>0.156</v>
      </c>
      <c r="C29" s="17">
        <v>0.14000000000000001</v>
      </c>
      <c r="D29" s="3">
        <v>0.14000000000000001</v>
      </c>
      <c r="E29" s="8">
        <v>0.16900000000000001</v>
      </c>
      <c r="F29">
        <v>0.14799999999999999</v>
      </c>
      <c r="G29" s="8">
        <v>0.151</v>
      </c>
      <c r="H29">
        <v>0.14699999999999999</v>
      </c>
      <c r="I29" s="8">
        <v>0.153</v>
      </c>
      <c r="J29">
        <v>0.14699999999999999</v>
      </c>
      <c r="K29" s="8">
        <v>0.153</v>
      </c>
    </row>
    <row r="30" spans="1:11" x14ac:dyDescent="0.25">
      <c r="A30" s="21" t="s">
        <v>59</v>
      </c>
      <c r="B30" s="22">
        <v>0.121</v>
      </c>
      <c r="C30" s="25">
        <v>9.8000000000000004E-2</v>
      </c>
      <c r="D30" s="52">
        <v>0.19400000000000001</v>
      </c>
      <c r="E30" s="58">
        <v>0.14499999999999999</v>
      </c>
      <c r="F30" s="53">
        <v>0.13600000000000001</v>
      </c>
      <c r="G30" s="58">
        <v>0.111</v>
      </c>
      <c r="H30" s="53">
        <v>0.08</v>
      </c>
      <c r="I30" s="58">
        <v>9.5000000000000001E-2</v>
      </c>
      <c r="J30" s="53">
        <v>0.08</v>
      </c>
      <c r="K30" s="58">
        <v>9.5000000000000001E-2</v>
      </c>
    </row>
    <row r="31" spans="1:11" x14ac:dyDescent="0.25">
      <c r="A31" s="3"/>
      <c r="B31" s="8"/>
      <c r="C31" s="4"/>
      <c r="D31" s="3"/>
      <c r="E31" s="8"/>
      <c r="G31" s="8"/>
      <c r="I31" s="8"/>
      <c r="K31" s="8"/>
    </row>
    <row r="32" spans="1:11" x14ac:dyDescent="0.25">
      <c r="A32" s="23" t="s">
        <v>60</v>
      </c>
      <c r="B32" s="19"/>
      <c r="C32" s="24"/>
      <c r="D32" s="23"/>
      <c r="E32" s="19"/>
      <c r="F32" s="54"/>
      <c r="G32" s="19"/>
      <c r="H32" s="54"/>
      <c r="I32" s="19"/>
      <c r="J32" s="54"/>
      <c r="K32" s="19"/>
    </row>
    <row r="33" spans="1:11" x14ac:dyDescent="0.25">
      <c r="A33" s="3" t="s">
        <v>61</v>
      </c>
      <c r="B33" s="8">
        <v>4.24</v>
      </c>
      <c r="C33" s="4">
        <v>3.42</v>
      </c>
      <c r="D33" s="3">
        <v>6.06</v>
      </c>
      <c r="E33" s="8">
        <v>4.3</v>
      </c>
      <c r="F33">
        <v>4.3</v>
      </c>
      <c r="G33" s="8">
        <v>3.36</v>
      </c>
      <c r="H33">
        <v>2.3199999999999998</v>
      </c>
      <c r="I33" s="8">
        <v>2.76</v>
      </c>
      <c r="J33">
        <v>2.3199999999999998</v>
      </c>
      <c r="K33" s="8">
        <v>2.76</v>
      </c>
    </row>
    <row r="34" spans="1:11" ht="16.5" thickBot="1" x14ac:dyDescent="0.3">
      <c r="A34" s="5" t="s">
        <v>62</v>
      </c>
      <c r="B34" s="9">
        <v>4.2300000000000004</v>
      </c>
      <c r="C34" s="6">
        <v>3.42</v>
      </c>
      <c r="D34" s="5">
        <v>6.06</v>
      </c>
      <c r="E34" s="9">
        <v>4.29</v>
      </c>
      <c r="F34" s="56">
        <v>4.3</v>
      </c>
      <c r="G34" s="9">
        <v>3.36</v>
      </c>
      <c r="H34" s="56">
        <v>2.3199999999999998</v>
      </c>
      <c r="I34" s="9">
        <v>2.75</v>
      </c>
      <c r="J34" s="56">
        <v>2.3199999999999998</v>
      </c>
      <c r="K34" s="9">
        <v>2.75</v>
      </c>
    </row>
    <row r="36" spans="1:11" x14ac:dyDescent="0.25">
      <c r="A36" t="s">
        <v>174</v>
      </c>
      <c r="B36" s="60">
        <f>(B3-C3)/C3</f>
        <v>-1.5102092688299585E-2</v>
      </c>
      <c r="C36" s="60">
        <f t="shared" ref="C36:I36" si="0">(C3-D3)/D3</f>
        <v>8.4236634209075872E-2</v>
      </c>
      <c r="D36" s="60">
        <f t="shared" si="0"/>
        <v>3.2545676582526113E-2</v>
      </c>
      <c r="E36" s="60">
        <f t="shared" si="0"/>
        <v>-8.8853599516031459E-2</v>
      </c>
      <c r="F36" s="60">
        <f t="shared" si="0"/>
        <v>1.2347029166985641E-2</v>
      </c>
      <c r="G36" s="60">
        <f>(G3-H3)/H3</f>
        <v>1.835373255671504E-2</v>
      </c>
      <c r="H36" s="60">
        <f>(H3-I3)/I3</f>
        <v>3.5990119482725859E-3</v>
      </c>
      <c r="I36" s="60">
        <f t="shared" si="0"/>
        <v>-3.5861055116882539E-3</v>
      </c>
      <c r="J36" s="60">
        <f>(J3-K3)/K3</f>
        <v>3.5990119482725859E-3</v>
      </c>
      <c r="K36">
        <f>(K3-92158)/92158</f>
        <v>-2.9178150567503634E-2</v>
      </c>
    </row>
    <row r="37" spans="1:11" x14ac:dyDescent="0.25">
      <c r="A37" t="s">
        <v>175</v>
      </c>
      <c r="B37" s="61">
        <f>AVERAGE(B36:F36)</f>
        <v>5.0347295508513194E-3</v>
      </c>
    </row>
  </sheetData>
  <mergeCells count="1">
    <mergeCell ref="A1:C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Tournaire</dc:creator>
  <cp:lastModifiedBy>Driss El Bouffi</cp:lastModifiedBy>
  <dcterms:created xsi:type="dcterms:W3CDTF">2024-03-03T15:47:46Z</dcterms:created>
  <dcterms:modified xsi:type="dcterms:W3CDTF">2026-04-08T09:17:38Z</dcterms:modified>
</cp:coreProperties>
</file>